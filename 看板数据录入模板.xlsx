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任务数据录入" sheetId="1" state="visible" r:id="rId1"/>
    <sheet xmlns:r="http://schemas.openxmlformats.org/officeDocument/2006/relationships" name="结算与预算" sheetId="2" state="visible" r:id="rId2"/>
    <sheet xmlns:r="http://schemas.openxmlformats.org/officeDocument/2006/relationships" name="试点项目管理" sheetId="3" state="visible" r:id="rId3"/>
    <sheet xmlns:r="http://schemas.openxmlformats.org/officeDocument/2006/relationships" name="缺失清单" sheetId="4" state="visible" r:id="rId4"/>
    <sheet xmlns:r="http://schemas.openxmlformats.org/officeDocument/2006/relationships" name="字段速查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3">
    <font>
      <name val="Calibri"/>
      <family val="2"/>
      <color theme="1"/>
      <sz val="11"/>
      <scheme val="minor"/>
    </font>
    <font>
      <b val="1"/>
      <color rgb="002C3E50"/>
      <sz val="14"/>
    </font>
    <font>
      <i val="1"/>
      <color rgb="007F8C8D"/>
      <sz val="9"/>
    </font>
    <font>
      <b val="1"/>
      <color rgb="00FFFFFF"/>
      <sz val="9"/>
    </font>
    <font>
      <b val="1"/>
      <color rgb="00FFFFFF"/>
      <sz val="11"/>
    </font>
    <font>
      <b val="1"/>
      <i val="1"/>
      <color rgb="00FFFFFF"/>
      <sz val="10"/>
    </font>
    <font>
      <i val="1"/>
      <color rgb="00BDC3C7"/>
      <sz val="9"/>
    </font>
    <font>
      <i val="1"/>
      <color rgb="00E74C3C"/>
      <sz val="9"/>
    </font>
    <font>
      <b val="1"/>
      <color rgb="002C3E50"/>
      <sz val="11"/>
    </font>
    <font>
      <color rgb="00555555"/>
      <sz val="9"/>
    </font>
    <font>
      <b val="1"/>
      <color rgb="002C3E50"/>
      <sz val="9"/>
    </font>
    <font>
      <b val="1"/>
      <color rgb="002C3E50"/>
      <sz val="12"/>
    </font>
    <font>
      <b val="1"/>
      <sz val="10"/>
    </font>
    <font>
      <b val="1"/>
      <color rgb="00E74C3C"/>
      <sz val="12"/>
    </font>
    <font>
      <b val="1"/>
    </font>
    <font>
      <b val="1"/>
      <color rgb="00F39C12"/>
      <sz val="12"/>
    </font>
    <font>
      <b val="1"/>
      <color rgb="00FFFFFF"/>
    </font>
    <font>
      <b val="1"/>
      <color rgb="0027AE60"/>
      <sz val="9"/>
    </font>
    <font>
      <color rgb="0027AE60"/>
      <sz val="9"/>
    </font>
    <font>
      <b val="1"/>
      <color rgb="00E74C3C"/>
      <sz val="9"/>
    </font>
    <font>
      <color rgb="00E74C3C"/>
      <sz val="9"/>
    </font>
    <font>
      <b val="1"/>
      <color rgb="0095A5A6"/>
      <sz val="9"/>
    </font>
    <font>
      <color rgb="0095A5A6"/>
      <sz val="9"/>
    </font>
  </fonts>
  <fills count="13">
    <fill>
      <patternFill/>
    </fill>
    <fill>
      <patternFill patternType="gray125"/>
    </fill>
    <fill>
      <patternFill patternType="solid">
        <fgColor rgb="002980B9"/>
        <bgColor rgb="002980B9"/>
      </patternFill>
    </fill>
    <fill>
      <patternFill patternType="solid">
        <fgColor rgb="00E74C3C"/>
        <bgColor rgb="00E74C3C"/>
      </patternFill>
    </fill>
    <fill>
      <patternFill patternType="solid">
        <fgColor rgb="00F39C12"/>
        <bgColor rgb="00F39C12"/>
      </patternFill>
    </fill>
    <fill>
      <patternFill patternType="solid">
        <fgColor rgb="00F1C40F"/>
        <bgColor rgb="00F1C40F"/>
      </patternFill>
    </fill>
    <fill>
      <patternFill patternType="solid">
        <fgColor rgb="002ECC71"/>
        <bgColor rgb="002ECC71"/>
      </patternFill>
    </fill>
    <fill>
      <patternFill patternType="solid">
        <fgColor rgb="0095A5A6"/>
        <bgColor rgb="0095A5A6"/>
      </patternFill>
    </fill>
    <fill>
      <patternFill patternType="solid">
        <fgColor rgb="00FDEBD0"/>
        <bgColor rgb="00FDEBD0"/>
      </patternFill>
    </fill>
    <fill>
      <patternFill patternType="solid">
        <fgColor rgb="00BDC3C7"/>
        <bgColor rgb="00BDC3C7"/>
      </patternFill>
    </fill>
    <fill>
      <patternFill patternType="solid">
        <fgColor rgb="00F2F3F4"/>
        <bgColor rgb="00F2F3F4"/>
      </patternFill>
    </fill>
    <fill>
      <patternFill patternType="solid">
        <fgColor rgb="001ABC9C"/>
        <bgColor rgb="001ABC9C"/>
      </patternFill>
    </fill>
    <fill>
      <patternFill patternType="solid">
        <fgColor rgb="00D5F5E3"/>
        <bgColor rgb="00D5F5E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vertical="center" wrapText="1"/>
    </xf>
    <xf numFmtId="0" fontId="7" fillId="8" borderId="1" applyAlignment="1" pivotButton="0" quotePrefix="0" xfId="0">
      <alignment vertical="center" wrapText="1"/>
    </xf>
    <xf numFmtId="0" fontId="6" fillId="10" borderId="1" applyAlignment="1" pivotButton="0" quotePrefix="0" xfId="0">
      <alignment vertical="center" wrapText="1"/>
    </xf>
    <xf numFmtId="0" fontId="6" fillId="10" borderId="1" applyAlignment="1" pivotButton="0" quotePrefix="0" xfId="0">
      <alignment horizontal="right" vertical="center"/>
    </xf>
    <xf numFmtId="0" fontId="8" fillId="0" borderId="0" pivotButton="0" quotePrefix="0" xfId="0"/>
    <xf numFmtId="0" fontId="10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 wrapText="1"/>
    </xf>
    <xf numFmtId="0" fontId="11" fillId="0" borderId="0" pivotButton="0" quotePrefix="0" xfId="0"/>
    <xf numFmtId="0" fontId="4" fillId="11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vertical="center" wrapText="1"/>
    </xf>
    <xf numFmtId="0" fontId="12" fillId="0" borderId="1" pivotButton="0" quotePrefix="0" xfId="0"/>
    <xf numFmtId="0" fontId="13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4" fillId="0" borderId="1" applyAlignment="1" pivotButton="0" quotePrefix="0" xfId="0">
      <alignment horizontal="center" vertical="center" wrapText="1"/>
    </xf>
    <xf numFmtId="0" fontId="15" fillId="0" borderId="1" pivotButton="0" quotePrefix="0" xfId="0"/>
    <xf numFmtId="0" fontId="1" fillId="0" borderId="0" applyAlignment="1" pivotButton="0" quotePrefix="0" xfId="0">
      <alignment horizontal="center"/>
    </xf>
    <xf numFmtId="164" fontId="0" fillId="0" borderId="1" applyAlignment="1" pivotButton="0" quotePrefix="0" xfId="0">
      <alignment vertical="center" wrapText="1"/>
    </xf>
    <xf numFmtId="0" fontId="4" fillId="7" borderId="1" applyAlignment="1" pivotButton="0" quotePrefix="0" xfId="0">
      <alignment horizontal="center" vertical="center" wrapText="1"/>
    </xf>
    <xf numFmtId="0" fontId="16" fillId="3" borderId="1" applyAlignment="1" pivotButton="0" quotePrefix="0" xfId="0">
      <alignment vertical="center" wrapText="1"/>
    </xf>
    <xf numFmtId="0" fontId="16" fillId="4" borderId="1" applyAlignment="1" pivotButton="0" quotePrefix="0" xfId="0">
      <alignment vertical="center" wrapText="1"/>
    </xf>
    <xf numFmtId="0" fontId="17" fillId="12" borderId="1" applyAlignment="1" pivotButton="0" quotePrefix="0" xfId="0">
      <alignment vertical="center" wrapText="1"/>
    </xf>
    <xf numFmtId="0" fontId="18" fillId="12" borderId="1" applyAlignment="1" pivotButton="0" quotePrefix="0" xfId="0">
      <alignment vertical="center" wrapText="1"/>
    </xf>
    <xf numFmtId="0" fontId="19" fillId="8" borderId="1" applyAlignment="1" pivotButton="0" quotePrefix="0" xfId="0">
      <alignment vertical="center" wrapText="1"/>
    </xf>
    <xf numFmtId="0" fontId="20" fillId="8" borderId="1" applyAlignment="1" pivotButton="0" quotePrefix="0" xfId="0">
      <alignment vertical="center" wrapText="1"/>
    </xf>
    <xf numFmtId="0" fontId="21" fillId="10" borderId="1" applyAlignment="1" pivotButton="0" quotePrefix="0" xfId="0">
      <alignment vertical="center" wrapText="1"/>
    </xf>
    <xf numFmtId="0" fontId="22" fillId="1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system</author>
  </authors>
  <commentList>
    <comment ref="B4" authorId="0" shapeId="0">
      <text>
        <t>如: 四川比价</t>
      </text>
    </comment>
    <comment ref="C4" authorId="0" shapeId="0">
      <text>
        <t>下拉选</t>
      </text>
    </comment>
    <comment ref="D4" authorId="0" shapeId="0">
      <text>
        <t>市场价/采购建议价</t>
      </text>
    </comment>
    <comment ref="E4" authorId="0" shapeId="0">
      <text>
        <t>价格采集/更新/报价单/聚合</t>
      </text>
    </comment>
    <comment ref="F4" authorId="0" shapeId="0">
      <text>
        <t>必填|新发需求数量(采购商)</t>
      </text>
    </comment>
    <comment ref="G4" authorId="0" shapeId="0">
      <text>
        <t>AI比价/更新/聚合1:3/其他</t>
      </text>
    </comment>
    <comment ref="H4" authorId="0" shapeId="0">
      <text>
        <t>必填|实际采集条数</t>
      </text>
    </comment>
    <comment ref="I4" authorId="0" shapeId="0">
      <text>
        <t>当前缺失|需补充</t>
      </text>
    </comment>
    <comment ref="J4" authorId="0" shapeId="0">
      <text>
        <t>已有|从原始表迁移</t>
      </text>
    </comment>
    <comment ref="K4" authorId="0" shapeId="0">
      <text>
        <t>已有|可当打回数用</t>
      </text>
    </comment>
    <comment ref="L4" authorId="0" shapeId="0">
      <text>
        <t>是/进行中/关闭/暂未启动</t>
      </text>
    </comment>
    <comment ref="M4" authorId="0" shapeId="0">
      <text>
        <t>是/否</t>
      </text>
    </comment>
    <comment ref="N4" authorId="0" shapeId="0">
      <text>
        <t>自动=采集数/需求量</t>
      </text>
    </comment>
    <comment ref="O4" authorId="0" shapeId="0">
      <text>
        <t>自动=(采集数-不通过数)/采集数</t>
      </text>
    </comment>
    <comment ref="P4" authorId="0" shapeId="0">
      <text>
        <t>问题原因或其他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8" customWidth="1" min="3" max="3"/>
    <col width="10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20" customWidth="1" min="16" max="16"/>
  </cols>
  <sheetData>
    <row r="1" ht="30" customHeight="1">
      <c r="A1" s="1" t="inlineStr">
        <is>
          <t>需求下发登记 - 日常录入表 (蓝色=手动填 灰色=自动算 看板自动同步)</t>
        </is>
      </c>
    </row>
    <row r="2">
      <c r="A2" s="2" t="inlineStr">
        <is>
          <t>跟原来表格一样逐行填, 看板自动读取展示  蓝底=你写  灰底=自动算(不用填)  橙底=需补充(当前缺失)  预算看板在 Sheet2</t>
        </is>
      </c>
    </row>
    <row r="3">
      <c r="A3" s="3" t="inlineStr">
        <is>
          <t>基础信息</t>
        </is>
      </c>
      <c r="B3" s="4" t="n"/>
      <c r="C3" s="5" t="inlineStr">
        <is>
          <t>需求下发</t>
        </is>
      </c>
      <c r="D3" s="6" t="n"/>
      <c r="E3" s="6" t="n"/>
      <c r="F3" s="7" t="inlineStr">
        <is>
          <t>采集执行</t>
        </is>
      </c>
      <c r="G3" s="8" t="n"/>
      <c r="H3" s="8" t="n"/>
      <c r="I3" s="9" t="inlineStr">
        <is>
          <t>数据加工/审核</t>
        </is>
      </c>
      <c r="J3" s="10" t="n"/>
      <c r="K3" s="10" t="n"/>
      <c r="L3" s="11" t="inlineStr">
        <is>
          <t>上线/闭环</t>
        </is>
      </c>
      <c r="M3" s="12" t="n"/>
      <c r="N3" s="13" t="inlineStr">
        <is>
          <t>自动计算</t>
        </is>
      </c>
      <c r="O3" s="14" t="n"/>
      <c r="P3" s="13" t="inlineStr">
        <is>
          <t>备注</t>
        </is>
      </c>
    </row>
    <row r="4">
      <c r="A4" s="15" t="inlineStr">
        <is>
          <t>序号</t>
        </is>
      </c>
      <c r="B4" s="15" t="inlineStr">
        <is>
          <t>任务名称</t>
        </is>
      </c>
      <c r="C4" s="15" t="inlineStr">
        <is>
          <t>月份</t>
        </is>
      </c>
      <c r="D4" s="15" t="inlineStr">
        <is>
          <t>需求项</t>
        </is>
      </c>
      <c r="E4" s="15" t="inlineStr">
        <is>
          <t>结算类型</t>
        </is>
      </c>
      <c r="F4" s="15" t="inlineStr">
        <is>
          <t>需求量</t>
        </is>
      </c>
      <c r="G4" s="15" t="inlineStr">
        <is>
          <t>数据来源</t>
        </is>
      </c>
      <c r="H4" s="15" t="inlineStr">
        <is>
          <t>采集完成数</t>
        </is>
      </c>
      <c r="I4" s="16" t="inlineStr">
        <is>
          <t>材料反馈数</t>
        </is>
      </c>
      <c r="J4" s="15" t="inlineStr">
        <is>
          <t>专家核实通过数</t>
        </is>
      </c>
      <c r="K4" s="15" t="inlineStr">
        <is>
          <t>供应商确认不通过数</t>
        </is>
      </c>
      <c r="L4" s="15" t="inlineStr">
        <is>
          <t>是否闭环</t>
        </is>
      </c>
      <c r="M4" s="15" t="inlineStr">
        <is>
          <t>是否全部闭环</t>
        </is>
      </c>
      <c r="N4" s="17" t="inlineStr">
        <is>
          <t>采集完成率</t>
        </is>
      </c>
      <c r="O4" s="17" t="inlineStr">
        <is>
          <t>需求准确率</t>
        </is>
      </c>
      <c r="P4" s="15" t="inlineStr">
        <is>
          <t>备注</t>
        </is>
      </c>
    </row>
    <row r="5" ht="22" customHeight="1">
      <c r="A5" s="18" t="n">
        <v>1</v>
      </c>
      <c r="B5" s="19" t="inlineStr">
        <is>
          <t>四川比价</t>
        </is>
      </c>
      <c r="C5" s="19" t="inlineStr">
        <is>
          <t>2026年03月</t>
        </is>
      </c>
      <c r="D5" s="19" t="inlineStr">
        <is>
          <t>市场价</t>
        </is>
      </c>
      <c r="E5" s="19" t="inlineStr">
        <is>
          <t>价格采集</t>
        </is>
      </c>
      <c r="F5" s="18" t="n">
        <v>5761</v>
      </c>
      <c r="G5" s="19" t="inlineStr">
        <is>
          <t>AI比价</t>
        </is>
      </c>
      <c r="H5" s="18" t="n">
        <v>3812</v>
      </c>
      <c r="I5" s="20" t="inlineStr">
        <is>
          <t>待补充</t>
        </is>
      </c>
      <c r="J5" s="18" t="n">
        <v>34</v>
      </c>
      <c r="K5" s="18" t="n">
        <v>40</v>
      </c>
      <c r="L5" s="19" t="inlineStr"/>
      <c r="M5" s="19" t="inlineStr"/>
      <c r="N5" s="21" t="inlineStr">
        <is>
          <t>自动</t>
        </is>
      </c>
      <c r="O5" s="22" t="inlineStr">
        <is>
          <t>自动</t>
        </is>
      </c>
      <c r="P5" s="19" t="inlineStr"/>
    </row>
    <row r="6" ht="22" customHeight="1">
      <c r="A6" s="18" t="n">
        <v>2</v>
      </c>
      <c r="B6" s="19" t="inlineStr">
        <is>
          <t>北京比价</t>
        </is>
      </c>
      <c r="C6" s="19" t="inlineStr">
        <is>
          <t>2026年03月</t>
        </is>
      </c>
      <c r="D6" s="19" t="inlineStr">
        <is>
          <t>市场价</t>
        </is>
      </c>
      <c r="E6" s="19" t="inlineStr">
        <is>
          <t>价格采集</t>
        </is>
      </c>
      <c r="F6" s="18" t="n">
        <v>6642</v>
      </c>
      <c r="G6" s="19" t="inlineStr">
        <is>
          <t>AI比价</t>
        </is>
      </c>
      <c r="H6" s="18" t="n">
        <v>3637</v>
      </c>
      <c r="I6" s="20" t="inlineStr">
        <is>
          <t>待补充</t>
        </is>
      </c>
      <c r="J6" s="18" t="n">
        <v>50</v>
      </c>
      <c r="K6" s="18" t="n">
        <v>18</v>
      </c>
      <c r="L6" s="19" t="inlineStr">
        <is>
          <t>否</t>
        </is>
      </c>
      <c r="M6" s="19" t="inlineStr"/>
      <c r="N6" s="21" t="inlineStr">
        <is>
          <t>自动</t>
        </is>
      </c>
      <c r="O6" s="22" t="inlineStr">
        <is>
          <t>自动</t>
        </is>
      </c>
      <c r="P6" s="19" t="inlineStr">
        <is>
          <t>剩余材料挑选部分做重新采集</t>
        </is>
      </c>
    </row>
    <row r="7" ht="22" customHeight="1">
      <c r="A7" s="18" t="n">
        <v>3</v>
      </c>
      <c r="B7" s="19" t="inlineStr">
        <is>
          <t>河北比价</t>
        </is>
      </c>
      <c r="C7" s="19" t="inlineStr">
        <is>
          <t>2026年03月</t>
        </is>
      </c>
      <c r="D7" s="19" t="inlineStr">
        <is>
          <t>市场价</t>
        </is>
      </c>
      <c r="E7" s="19" t="inlineStr">
        <is>
          <t>价格采集</t>
        </is>
      </c>
      <c r="F7" s="18" t="n">
        <v>3489</v>
      </c>
      <c r="G7" s="19" t="inlineStr">
        <is>
          <t>AI比价</t>
        </is>
      </c>
      <c r="H7" s="18" t="n">
        <v>3231</v>
      </c>
      <c r="I7" s="20" t="inlineStr">
        <is>
          <t>待补充</t>
        </is>
      </c>
      <c r="J7" s="18" t="n">
        <v>77</v>
      </c>
      <c r="K7" s="18" t="n">
        <v>31</v>
      </c>
      <c r="L7" s="19" t="inlineStr">
        <is>
          <t>否</t>
        </is>
      </c>
      <c r="M7" s="19" t="inlineStr"/>
      <c r="N7" s="21" t="inlineStr">
        <is>
          <t>自动</t>
        </is>
      </c>
      <c r="O7" s="22" t="inlineStr">
        <is>
          <t>自动</t>
        </is>
      </c>
      <c r="P7" s="19" t="inlineStr">
        <is>
          <t>剩余材料挑选部分做重新采集</t>
        </is>
      </c>
    </row>
    <row r="8" ht="22" customHeight="1">
      <c r="A8" s="18" t="n">
        <v>4</v>
      </c>
      <c r="B8" s="19" t="inlineStr">
        <is>
          <t>山东&amp;上海</t>
        </is>
      </c>
      <c r="C8" s="19" t="inlineStr">
        <is>
          <t>2026年03月</t>
        </is>
      </c>
      <c r="D8" s="19" t="inlineStr">
        <is>
          <t>采购建议价</t>
        </is>
      </c>
      <c r="E8" s="19" t="inlineStr">
        <is>
          <t>价格采集</t>
        </is>
      </c>
      <c r="F8" s="18" t="n">
        <v>85</v>
      </c>
      <c r="G8" s="19" t="inlineStr"/>
      <c r="H8" s="18" t="n">
        <v>85</v>
      </c>
      <c r="I8" s="20" t="inlineStr">
        <is>
          <t>待补充</t>
        </is>
      </c>
      <c r="J8" s="19" t="inlineStr"/>
      <c r="K8" s="19" t="inlineStr"/>
      <c r="L8" s="19" t="inlineStr"/>
      <c r="M8" s="19" t="inlineStr"/>
      <c r="N8" s="21" t="inlineStr">
        <is>
          <t>自动</t>
        </is>
      </c>
      <c r="O8" s="21" t="inlineStr">
        <is>
          <t>自动</t>
        </is>
      </c>
      <c r="P8" s="19" t="inlineStr"/>
    </row>
    <row r="9" ht="22" customHeight="1">
      <c r="A9" s="18" t="n">
        <v>5</v>
      </c>
      <c r="B9" s="19" t="inlineStr">
        <is>
          <t>北京比价试点</t>
        </is>
      </c>
      <c r="C9" s="19" t="inlineStr">
        <is>
          <t>2026年04月</t>
        </is>
      </c>
      <c r="D9" s="19" t="inlineStr">
        <is>
          <t>市场价</t>
        </is>
      </c>
      <c r="E9" s="19" t="inlineStr">
        <is>
          <t>价格采集</t>
        </is>
      </c>
      <c r="F9" s="18" t="n">
        <v>606</v>
      </c>
      <c r="G9" s="19" t="inlineStr">
        <is>
          <t>AI比价</t>
        </is>
      </c>
      <c r="H9" s="18" t="n">
        <v>591</v>
      </c>
      <c r="I9" s="20" t="inlineStr">
        <is>
          <t>待补充</t>
        </is>
      </c>
      <c r="J9" s="19" t="inlineStr"/>
      <c r="K9" s="19" t="inlineStr"/>
      <c r="L9" s="19" t="inlineStr"/>
      <c r="M9" s="19" t="inlineStr"/>
      <c r="N9" s="21" t="inlineStr">
        <is>
          <t>自动</t>
        </is>
      </c>
      <c r="O9" s="21" t="inlineStr">
        <is>
          <t>自动</t>
        </is>
      </c>
      <c r="P9" s="19" t="inlineStr"/>
    </row>
    <row r="10" ht="22" customHeight="1">
      <c r="A10" s="18" t="n">
        <v>6</v>
      </c>
      <c r="B10" s="19" t="inlineStr">
        <is>
          <t>河北比价试点</t>
        </is>
      </c>
      <c r="C10" s="19" t="inlineStr">
        <is>
          <t>2026年04月</t>
        </is>
      </c>
      <c r="D10" s="19" t="inlineStr">
        <is>
          <t>市场价</t>
        </is>
      </c>
      <c r="E10" s="19" t="inlineStr">
        <is>
          <t>价格采集</t>
        </is>
      </c>
      <c r="F10" s="18" t="n">
        <v>234</v>
      </c>
      <c r="G10" s="19" t="inlineStr">
        <is>
          <t>AI比价</t>
        </is>
      </c>
      <c r="H10" s="18" t="n">
        <v>161</v>
      </c>
      <c r="I10" s="20" t="inlineStr">
        <is>
          <t>待补充</t>
        </is>
      </c>
      <c r="J10" s="19" t="inlineStr"/>
      <c r="K10" s="19" t="inlineStr"/>
      <c r="L10" s="19" t="inlineStr"/>
      <c r="M10" s="19" t="inlineStr"/>
      <c r="N10" s="21" t="inlineStr">
        <is>
          <t>自动</t>
        </is>
      </c>
      <c r="O10" s="21" t="inlineStr">
        <is>
          <t>自动</t>
        </is>
      </c>
      <c r="P10" s="19" t="inlineStr"/>
    </row>
    <row r="11" ht="22" customHeight="1">
      <c r="A11" s="18" t="n">
        <v>7</v>
      </c>
      <c r="B11" s="19" t="inlineStr">
        <is>
          <t>海南更新</t>
        </is>
      </c>
      <c r="C11" s="19" t="inlineStr">
        <is>
          <t>2026年04月</t>
        </is>
      </c>
      <c r="D11" s="19" t="inlineStr">
        <is>
          <t>市场价</t>
        </is>
      </c>
      <c r="E11" s="19" t="inlineStr">
        <is>
          <t>价格更新</t>
        </is>
      </c>
      <c r="F11" s="18" t="n">
        <v>13716</v>
      </c>
      <c r="G11" s="19" t="inlineStr">
        <is>
          <t>更新</t>
        </is>
      </c>
      <c r="H11" s="18" t="n">
        <v>13716</v>
      </c>
      <c r="I11" s="20" t="inlineStr">
        <is>
          <t>待补充</t>
        </is>
      </c>
      <c r="J11" s="19" t="inlineStr"/>
      <c r="K11" s="19" t="inlineStr"/>
      <c r="L11" s="19" t="inlineStr">
        <is>
          <t>否</t>
        </is>
      </c>
      <c r="M11" s="19" t="inlineStr">
        <is>
          <t>是</t>
        </is>
      </c>
      <c r="N11" s="21" t="inlineStr">
        <is>
          <t>自动</t>
        </is>
      </c>
      <c r="O11" s="21" t="inlineStr">
        <is>
          <t>自动</t>
        </is>
      </c>
      <c r="P11" s="19" t="inlineStr"/>
    </row>
    <row r="12" ht="22" customHeight="1">
      <c r="A12" s="18" t="n">
        <v>8</v>
      </c>
      <c r="B12" s="19" t="inlineStr">
        <is>
          <t>江西更新</t>
        </is>
      </c>
      <c r="C12" s="19" t="inlineStr">
        <is>
          <t>2026年04月</t>
        </is>
      </c>
      <c r="D12" s="19" t="inlineStr">
        <is>
          <t>市场价</t>
        </is>
      </c>
      <c r="E12" s="19" t="inlineStr">
        <is>
          <t>价格更新</t>
        </is>
      </c>
      <c r="F12" s="18" t="n">
        <v>60</v>
      </c>
      <c r="G12" s="19" t="inlineStr">
        <is>
          <t>更新</t>
        </is>
      </c>
      <c r="H12" s="18" t="n">
        <v>60</v>
      </c>
      <c r="I12" s="20" t="inlineStr">
        <is>
          <t>待补充</t>
        </is>
      </c>
      <c r="J12" s="19" t="inlineStr"/>
      <c r="K12" s="19" t="inlineStr"/>
      <c r="L12" s="19" t="inlineStr">
        <is>
          <t>否</t>
        </is>
      </c>
      <c r="M12" s="19" t="inlineStr">
        <is>
          <t>是</t>
        </is>
      </c>
      <c r="N12" s="21" t="inlineStr">
        <is>
          <t>自动</t>
        </is>
      </c>
      <c r="O12" s="21" t="inlineStr">
        <is>
          <t>自动</t>
        </is>
      </c>
      <c r="P12" s="19" t="inlineStr"/>
    </row>
    <row r="13" ht="22" customHeight="1">
      <c r="A13" s="19" t="inlineStr"/>
      <c r="B13" s="19" t="inlineStr">
        <is>
          <t>全国</t>
        </is>
      </c>
      <c r="C13" s="19" t="inlineStr">
        <is>
          <t>2026年04月</t>
        </is>
      </c>
      <c r="D13" s="19" t="inlineStr">
        <is>
          <t>市场价</t>
        </is>
      </c>
      <c r="E13" s="19" t="inlineStr">
        <is>
          <t>全系列报价单</t>
        </is>
      </c>
      <c r="F13" s="18" t="n">
        <v>570</v>
      </c>
      <c r="G13" s="19" t="inlineStr"/>
      <c r="H13" s="18" t="n">
        <v>232</v>
      </c>
      <c r="I13" s="20" t="inlineStr">
        <is>
          <t>待补充</t>
        </is>
      </c>
      <c r="J13" s="19" t="inlineStr"/>
      <c r="K13" s="19" t="inlineStr"/>
      <c r="L13" s="19" t="inlineStr"/>
      <c r="M13" s="19" t="inlineStr"/>
      <c r="N13" s="21" t="inlineStr">
        <is>
          <t>自动</t>
        </is>
      </c>
      <c r="O13" s="21" t="inlineStr">
        <is>
          <t>自动</t>
        </is>
      </c>
      <c r="P13" s="19" t="inlineStr"/>
    </row>
    <row r="14" ht="22" customHeight="1">
      <c r="A14" s="18" t="n">
        <v>9</v>
      </c>
      <c r="B14" s="19" t="inlineStr">
        <is>
          <t>1:3</t>
        </is>
      </c>
      <c r="C14" s="19" t="inlineStr">
        <is>
          <t>2026年04月</t>
        </is>
      </c>
      <c r="D14" s="19" t="inlineStr">
        <is>
          <t>市场价</t>
        </is>
      </c>
      <c r="E14" s="19" t="inlineStr">
        <is>
          <t>价格采集</t>
        </is>
      </c>
      <c r="F14" s="18" t="n">
        <v>19910</v>
      </c>
      <c r="G14" s="19" t="inlineStr">
        <is>
          <t>聚合1:3</t>
        </is>
      </c>
      <c r="H14" s="18" t="n">
        <v>9739</v>
      </c>
      <c r="I14" s="20" t="inlineStr">
        <is>
          <t>待补充</t>
        </is>
      </c>
      <c r="J14" s="19" t="inlineStr"/>
      <c r="K14" s="19" t="inlineStr"/>
      <c r="L14" s="19" t="inlineStr"/>
      <c r="M14" s="19" t="inlineStr"/>
      <c r="N14" s="21" t="inlineStr">
        <is>
          <t>自动</t>
        </is>
      </c>
      <c r="O14" s="21" t="inlineStr">
        <is>
          <t>自动</t>
        </is>
      </c>
      <c r="P14" s="19" t="inlineStr"/>
    </row>
    <row r="15" ht="22" customHeight="1">
      <c r="A15" s="18" t="n">
        <v>10</v>
      </c>
      <c r="B15" s="19" t="inlineStr">
        <is>
          <t>山东</t>
        </is>
      </c>
      <c r="C15" s="19" t="inlineStr">
        <is>
          <t>2026年04月</t>
        </is>
      </c>
      <c r="D15" s="19" t="inlineStr">
        <is>
          <t>采购建议价</t>
        </is>
      </c>
      <c r="E15" s="19" t="inlineStr">
        <is>
          <t>价格采集</t>
        </is>
      </c>
      <c r="F15" s="18" t="n">
        <v>286</v>
      </c>
      <c r="G15" s="19" t="inlineStr"/>
      <c r="H15" s="18" t="n">
        <v>0</v>
      </c>
      <c r="I15" s="20" t="inlineStr">
        <is>
          <t>待补充</t>
        </is>
      </c>
      <c r="J15" s="19" t="inlineStr"/>
      <c r="K15" s="19" t="inlineStr"/>
      <c r="L15" s="19" t="inlineStr"/>
      <c r="M15" s="19" t="inlineStr"/>
      <c r="N15" s="21" t="inlineStr">
        <is>
          <t>自动</t>
        </is>
      </c>
      <c r="O15" s="21" t="inlineStr">
        <is>
          <t>自动</t>
        </is>
      </c>
      <c r="P15" s="19" t="inlineStr"/>
    </row>
    <row r="16" ht="22" customHeight="1">
      <c r="A16" s="18" t="n">
        <v>11</v>
      </c>
      <c r="B16" s="19" t="inlineStr">
        <is>
          <t>浙江比价</t>
        </is>
      </c>
      <c r="C16" s="19" t="inlineStr">
        <is>
          <t>2026年04月</t>
        </is>
      </c>
      <c r="D16" s="19" t="inlineStr">
        <is>
          <t>市场价</t>
        </is>
      </c>
      <c r="E16" s="19" t="inlineStr">
        <is>
          <t>价格采集</t>
        </is>
      </c>
      <c r="F16" s="18" t="n">
        <v>1605</v>
      </c>
      <c r="G16" s="19" t="inlineStr">
        <is>
          <t>AI比价</t>
        </is>
      </c>
      <c r="H16" s="18" t="n">
        <v>1391</v>
      </c>
      <c r="I16" s="20" t="inlineStr">
        <is>
          <t>待补充</t>
        </is>
      </c>
      <c r="J16" s="18" t="n">
        <v>11</v>
      </c>
      <c r="K16" s="19" t="inlineStr"/>
      <c r="L16" s="19" t="inlineStr"/>
      <c r="M16" s="19" t="inlineStr"/>
      <c r="N16" s="21" t="inlineStr">
        <is>
          <t>自动</t>
        </is>
      </c>
      <c r="O16" s="21" t="inlineStr">
        <is>
          <t>自动</t>
        </is>
      </c>
      <c r="P16" s="19" t="inlineStr"/>
    </row>
    <row r="17" ht="22" customHeight="1">
      <c r="A17" s="18" t="n">
        <v>12</v>
      </c>
      <c r="B17" s="19" t="inlineStr">
        <is>
          <t>江苏比价更新</t>
        </is>
      </c>
      <c r="C17" s="19" t="inlineStr">
        <is>
          <t>2026年04月</t>
        </is>
      </c>
      <c r="D17" s="19" t="inlineStr">
        <is>
          <t>市场价</t>
        </is>
      </c>
      <c r="E17" s="19" t="inlineStr">
        <is>
          <t>价格采集</t>
        </is>
      </c>
      <c r="F17" s="18" t="n">
        <v>16594</v>
      </c>
      <c r="G17" s="19" t="inlineStr">
        <is>
          <t>AI比价</t>
        </is>
      </c>
      <c r="H17" s="18" t="n">
        <v>16594</v>
      </c>
      <c r="I17" s="20" t="inlineStr">
        <is>
          <t>待补充</t>
        </is>
      </c>
      <c r="J17" s="19" t="inlineStr"/>
      <c r="K17" s="19" t="inlineStr"/>
      <c r="L17" s="19" t="inlineStr"/>
      <c r="M17" s="19" t="inlineStr"/>
      <c r="N17" s="21" t="inlineStr">
        <is>
          <t>自动</t>
        </is>
      </c>
      <c r="O17" s="21" t="inlineStr">
        <is>
          <t>自动</t>
        </is>
      </c>
      <c r="P17" s="19" t="inlineStr"/>
    </row>
    <row r="18" ht="22" customHeight="1">
      <c r="A18" s="18" t="n">
        <v>13</v>
      </c>
      <c r="B18" s="19" t="inlineStr">
        <is>
          <t>1:3-管材管件</t>
        </is>
      </c>
      <c r="C18" s="19" t="inlineStr">
        <is>
          <t>2026年04月</t>
        </is>
      </c>
      <c r="D18" s="19" t="inlineStr">
        <is>
          <t>市场价</t>
        </is>
      </c>
      <c r="E18" s="19" t="inlineStr">
        <is>
          <t>价格采集</t>
        </is>
      </c>
      <c r="F18" s="19" t="inlineStr"/>
      <c r="G18" s="19" t="inlineStr">
        <is>
          <t>聚合1:3</t>
        </is>
      </c>
      <c r="H18" s="19" t="inlineStr"/>
      <c r="I18" s="20" t="inlineStr">
        <is>
          <t>待补充</t>
        </is>
      </c>
      <c r="J18" s="19" t="inlineStr"/>
      <c r="K18" s="19" t="inlineStr"/>
      <c r="L18" s="19" t="inlineStr"/>
      <c r="M18" s="19" t="inlineStr"/>
      <c r="N18" s="21" t="inlineStr">
        <is>
          <t>自动</t>
        </is>
      </c>
      <c r="O18" s="21" t="inlineStr">
        <is>
          <t>自动</t>
        </is>
      </c>
      <c r="P18" s="19" t="inlineStr"/>
    </row>
    <row r="19" ht="22" customHeight="1">
      <c r="A19" s="19" t="inlineStr"/>
      <c r="B19" s="19" t="inlineStr">
        <is>
          <t>新疆</t>
        </is>
      </c>
      <c r="C19" s="19" t="inlineStr">
        <is>
          <t>2026年05月</t>
        </is>
      </c>
      <c r="D19" s="19" t="inlineStr">
        <is>
          <t>市场价</t>
        </is>
      </c>
      <c r="E19" s="19" t="inlineStr">
        <is>
          <t>全系列报价单</t>
        </is>
      </c>
      <c r="F19" s="19" t="inlineStr"/>
      <c r="G19" s="19" t="inlineStr"/>
      <c r="H19" s="19" t="inlineStr"/>
      <c r="I19" s="20" t="inlineStr">
        <is>
          <t>待补充</t>
        </is>
      </c>
      <c r="J19" s="19" t="inlineStr"/>
      <c r="K19" s="19" t="inlineStr"/>
      <c r="L19" s="19" t="inlineStr"/>
      <c r="M19" s="19" t="inlineStr"/>
      <c r="N19" s="21" t="inlineStr">
        <is>
          <t>自动</t>
        </is>
      </c>
      <c r="O19" s="21" t="inlineStr">
        <is>
          <t>自动</t>
        </is>
      </c>
      <c r="P19" s="19" t="inlineStr"/>
    </row>
    <row r="20" ht="22" customHeight="1">
      <c r="A20" s="19" t="inlineStr"/>
      <c r="B20" s="19" t="inlineStr">
        <is>
          <t>江苏比价</t>
        </is>
      </c>
      <c r="C20" s="19" t="inlineStr">
        <is>
          <t>2026年05月</t>
        </is>
      </c>
      <c r="D20" s="19" t="inlineStr">
        <is>
          <t>市场价</t>
        </is>
      </c>
      <c r="E20" s="19" t="inlineStr">
        <is>
          <t>价格采集</t>
        </is>
      </c>
      <c r="F20" s="18" t="n">
        <v>2277</v>
      </c>
      <c r="G20" s="19" t="inlineStr">
        <is>
          <t>AI比价</t>
        </is>
      </c>
      <c r="H20" s="18" t="n">
        <v>2355</v>
      </c>
      <c r="I20" s="20" t="inlineStr">
        <is>
          <t>待补充</t>
        </is>
      </c>
      <c r="J20" s="19" t="inlineStr"/>
      <c r="K20" s="19" t="inlineStr"/>
      <c r="L20" s="19" t="inlineStr"/>
      <c r="M20" s="19" t="inlineStr"/>
      <c r="N20" s="21" t="inlineStr">
        <is>
          <t>自动</t>
        </is>
      </c>
      <c r="O20" s="21" t="inlineStr">
        <is>
          <t>自动</t>
        </is>
      </c>
      <c r="P20" s="19" t="inlineStr"/>
    </row>
    <row r="21" ht="22" customHeight="1">
      <c r="A21" s="19" t="inlineStr"/>
      <c r="B21" s="19" t="inlineStr">
        <is>
          <t>山东比价</t>
        </is>
      </c>
      <c r="C21" s="19" t="inlineStr">
        <is>
          <t>2026年06月</t>
        </is>
      </c>
      <c r="D21" s="19" t="inlineStr">
        <is>
          <t>市场价</t>
        </is>
      </c>
      <c r="E21" s="19" t="inlineStr">
        <is>
          <t>价格采集</t>
        </is>
      </c>
      <c r="F21" s="18" t="n">
        <v>14100</v>
      </c>
      <c r="G21" s="19" t="inlineStr">
        <is>
          <t>AI比价</t>
        </is>
      </c>
      <c r="H21" s="19" t="inlineStr"/>
      <c r="I21" s="20" t="inlineStr">
        <is>
          <t>待补充</t>
        </is>
      </c>
      <c r="J21" s="19" t="inlineStr"/>
      <c r="K21" s="19" t="inlineStr"/>
      <c r="L21" s="19" t="inlineStr"/>
      <c r="M21" s="19" t="inlineStr"/>
      <c r="N21" s="21" t="inlineStr">
        <is>
          <t>自动</t>
        </is>
      </c>
      <c r="O21" s="21" t="inlineStr">
        <is>
          <t>自动</t>
        </is>
      </c>
      <c r="P21" s="19" t="inlineStr"/>
    </row>
    <row r="22" ht="22" customHeight="1">
      <c r="A22" s="19" t="inlineStr"/>
      <c r="B22" s="19" t="inlineStr">
        <is>
          <t>淄博价目表</t>
        </is>
      </c>
      <c r="C22" s="19" t="inlineStr">
        <is>
          <t>2026年06月</t>
        </is>
      </c>
      <c r="D22" s="19" t="inlineStr">
        <is>
          <t>市场价</t>
        </is>
      </c>
      <c r="E22" s="19" t="inlineStr">
        <is>
          <t>价格采集</t>
        </is>
      </c>
      <c r="F22" s="18" t="n">
        <v>5855</v>
      </c>
      <c r="G22" s="19" t="inlineStr">
        <is>
          <t>地区特性</t>
        </is>
      </c>
      <c r="H22" s="19" t="inlineStr"/>
      <c r="I22" s="20" t="inlineStr">
        <is>
          <t>待补充</t>
        </is>
      </c>
      <c r="J22" s="19" t="inlineStr"/>
      <c r="K22" s="19" t="inlineStr"/>
      <c r="L22" s="19" t="inlineStr"/>
      <c r="M22" s="19" t="inlineStr"/>
      <c r="N22" s="21" t="inlineStr">
        <is>
          <t>自动</t>
        </is>
      </c>
      <c r="O22" s="21" t="inlineStr">
        <is>
          <t>自动</t>
        </is>
      </c>
      <c r="P22" s="19" t="inlineStr"/>
    </row>
    <row r="23" ht="22" customHeight="1">
      <c r="A23" s="19" t="inlineStr"/>
      <c r="B23" s="19" t="inlineStr">
        <is>
          <t>广东比价</t>
        </is>
      </c>
      <c r="C23" s="19" t="inlineStr">
        <is>
          <t>2026年06月</t>
        </is>
      </c>
      <c r="D23" s="19" t="inlineStr">
        <is>
          <t>市场价</t>
        </is>
      </c>
      <c r="E23" s="19" t="inlineStr">
        <is>
          <t>价格采集</t>
        </is>
      </c>
      <c r="F23" s="18" t="n">
        <v>14064</v>
      </c>
      <c r="G23" s="19" t="inlineStr">
        <is>
          <t>AI比价</t>
        </is>
      </c>
      <c r="H23" s="19" t="inlineStr"/>
      <c r="I23" s="20" t="inlineStr">
        <is>
          <t>待补充</t>
        </is>
      </c>
      <c r="J23" s="19" t="inlineStr"/>
      <c r="K23" s="19" t="inlineStr"/>
      <c r="L23" s="19" t="inlineStr"/>
      <c r="M23" s="19" t="inlineStr"/>
      <c r="N23" s="21" t="inlineStr">
        <is>
          <t>自动</t>
        </is>
      </c>
      <c r="O23" s="21" t="inlineStr">
        <is>
          <t>自动</t>
        </is>
      </c>
      <c r="P23" s="19" t="inlineStr"/>
    </row>
    <row r="24" ht="22" customHeight="1">
      <c r="A24" s="19" t="inlineStr"/>
      <c r="B24" s="19" t="inlineStr">
        <is>
          <t>山东比价</t>
        </is>
      </c>
      <c r="C24" s="19" t="inlineStr">
        <is>
          <t>2026年06月</t>
        </is>
      </c>
      <c r="D24" s="19" t="inlineStr">
        <is>
          <t>市场价</t>
        </is>
      </c>
      <c r="E24" s="19" t="inlineStr">
        <is>
          <t>价格采集</t>
        </is>
      </c>
      <c r="F24" s="18" t="n">
        <v>2115</v>
      </c>
      <c r="G24" s="19" t="inlineStr">
        <is>
          <t>AI比价</t>
        </is>
      </c>
      <c r="H24" s="19" t="inlineStr"/>
      <c r="I24" s="20" t="inlineStr">
        <is>
          <t>待补充</t>
        </is>
      </c>
      <c r="J24" s="19" t="inlineStr"/>
      <c r="K24" s="19" t="inlineStr"/>
      <c r="L24" s="19" t="inlineStr"/>
      <c r="M24" s="19" t="inlineStr"/>
      <c r="N24" s="21" t="inlineStr">
        <is>
          <t>自动</t>
        </is>
      </c>
      <c r="O24" s="21" t="inlineStr">
        <is>
          <t>自动</t>
        </is>
      </c>
      <c r="P24" s="19" t="inlineStr"/>
    </row>
    <row r="25" ht="22" customHeight="1">
      <c r="A25" s="19" t="inlineStr"/>
      <c r="B25" s="19" t="inlineStr">
        <is>
          <t>淄博价目表</t>
        </is>
      </c>
      <c r="C25" s="19" t="inlineStr">
        <is>
          <t>2026年06月</t>
        </is>
      </c>
      <c r="D25" s="19" t="inlineStr">
        <is>
          <t>市场价</t>
        </is>
      </c>
      <c r="E25" s="19" t="inlineStr">
        <is>
          <t>价格采集</t>
        </is>
      </c>
      <c r="F25" s="18" t="n">
        <v>771</v>
      </c>
      <c r="G25" s="19" t="inlineStr">
        <is>
          <t>地区特性</t>
        </is>
      </c>
      <c r="H25" s="19" t="inlineStr"/>
      <c r="I25" s="20" t="inlineStr">
        <is>
          <t>待补充</t>
        </is>
      </c>
      <c r="J25" s="19" t="inlineStr"/>
      <c r="K25" s="19" t="inlineStr"/>
      <c r="L25" s="19" t="inlineStr"/>
      <c r="M25" s="19" t="inlineStr"/>
      <c r="N25" s="21" t="inlineStr">
        <is>
          <t>自动</t>
        </is>
      </c>
      <c r="O25" s="21" t="inlineStr">
        <is>
          <t>自动</t>
        </is>
      </c>
      <c r="P25" s="19" t="inlineStr"/>
    </row>
    <row r="26" ht="22" customHeight="1">
      <c r="A26" s="19" t="inlineStr"/>
      <c r="B26" s="19" t="inlineStr">
        <is>
          <t>广东比价</t>
        </is>
      </c>
      <c r="C26" s="19" t="inlineStr">
        <is>
          <t>2026年06月</t>
        </is>
      </c>
      <c r="D26" s="19" t="inlineStr">
        <is>
          <t>市场价</t>
        </is>
      </c>
      <c r="E26" s="19" t="inlineStr">
        <is>
          <t>价格采集</t>
        </is>
      </c>
      <c r="F26" s="18" t="n">
        <v>2001</v>
      </c>
      <c r="G26" s="19" t="inlineStr">
        <is>
          <t>AI比价</t>
        </is>
      </c>
      <c r="H26" s="19" t="inlineStr"/>
      <c r="I26" s="20" t="inlineStr">
        <is>
          <t>待补充</t>
        </is>
      </c>
      <c r="J26" s="19" t="inlineStr"/>
      <c r="K26" s="19" t="inlineStr"/>
      <c r="L26" s="19" t="inlineStr"/>
      <c r="M26" s="19" t="inlineStr"/>
      <c r="N26" s="21" t="inlineStr">
        <is>
          <t>自动</t>
        </is>
      </c>
      <c r="O26" s="21" t="inlineStr">
        <is>
          <t>自动</t>
        </is>
      </c>
      <c r="P26" s="19" t="inlineStr"/>
    </row>
    <row r="27" ht="22" customHeight="1">
      <c r="A27" s="19" t="inlineStr"/>
      <c r="B27" s="19" t="inlineStr">
        <is>
          <t>甘肃新清单</t>
        </is>
      </c>
      <c r="C27" s="19" t="inlineStr">
        <is>
          <t>2026年06月</t>
        </is>
      </c>
      <c r="D27" s="19" t="inlineStr">
        <is>
          <t>市场价</t>
        </is>
      </c>
      <c r="E27" s="19" t="inlineStr">
        <is>
          <t>价格采集</t>
        </is>
      </c>
      <c r="F27" s="19" t="inlineStr"/>
      <c r="G27" s="19" t="inlineStr">
        <is>
          <t>地区特性</t>
        </is>
      </c>
      <c r="H27" s="19" t="inlineStr"/>
      <c r="I27" s="20" t="inlineStr">
        <is>
          <t>待补充</t>
        </is>
      </c>
      <c r="J27" s="19" t="inlineStr"/>
      <c r="K27" s="19" t="inlineStr"/>
      <c r="L27" s="19" t="inlineStr"/>
      <c r="M27" s="19" t="inlineStr"/>
      <c r="N27" s="21" t="inlineStr">
        <is>
          <t>自动</t>
        </is>
      </c>
      <c r="O27" s="21" t="inlineStr">
        <is>
          <t>自动</t>
        </is>
      </c>
      <c r="P27" s="19" t="inlineStr"/>
    </row>
    <row r="30">
      <c r="A30" s="23" t="inlineStr">
        <is>
          <t>自动计算说明 (灰色列的公式)</t>
        </is>
      </c>
    </row>
    <row r="31">
      <c r="A31" s="13" t="inlineStr">
        <is>
          <t>KPI指标</t>
        </is>
      </c>
      <c r="B31" s="13" t="inlineStr">
        <is>
          <t>公式</t>
        </is>
      </c>
      <c r="C31" s="13" t="inlineStr">
        <is>
          <t>依赖字段</t>
        </is>
      </c>
    </row>
    <row r="32">
      <c r="A32" s="24" t="inlineStr">
        <is>
          <t>采集完成率</t>
        </is>
      </c>
      <c r="B32" s="25">
        <f> 采集完成数 / 需求量 x 100%</f>
        <v/>
      </c>
      <c r="C32" s="25" t="inlineStr">
        <is>
          <t>需求量(col F), 采集完成数(col H)</t>
        </is>
      </c>
    </row>
    <row r="33">
      <c r="A33" s="24" t="inlineStr">
        <is>
          <t>需求准确率</t>
        </is>
      </c>
      <c r="B33" s="25">
        <f> (采集数 - 不通过数) / 采集数 x 100%</f>
        <v/>
      </c>
      <c r="C33" s="25" t="inlineStr">
        <is>
          <t>采集完成数(col H), 不通过数(col K)</t>
        </is>
      </c>
    </row>
    <row r="34">
      <c r="A34" s="24" t="inlineStr">
        <is>
          <t>闭环率</t>
        </is>
      </c>
      <c r="B34" s="25">
        <f> 闭环=是的任务数 / 总任务数 x 100%</f>
        <v/>
      </c>
      <c r="C34" s="25" t="inlineStr">
        <is>
          <t>是否闭环(col L)</t>
        </is>
      </c>
    </row>
    <row r="35">
      <c r="A35" s="24" t="inlineStr">
        <is>
          <t>全部闭环率</t>
        </is>
      </c>
      <c r="B35" s="25">
        <f> 全部闭环=是的任务数 / 总任务数 x 100%</f>
        <v/>
      </c>
      <c r="C35" s="25" t="inlineStr">
        <is>
          <t>是否全部闭环(col M)</t>
        </is>
      </c>
    </row>
    <row r="36">
      <c r="A36" s="24" t="inlineStr">
        <is>
          <t>材料反馈率</t>
        </is>
      </c>
      <c r="B36" s="25">
        <f> 材料反馈数 / 采集完成数 x 100%</f>
        <v/>
      </c>
      <c r="C36" s="25" t="inlineStr">
        <is>
          <t>材料反馈数(col I), 采集完成数(col H)</t>
        </is>
      </c>
    </row>
    <row r="37">
      <c r="A37" s="24" t="inlineStr">
        <is>
          <t>专家核实通过率</t>
        </is>
      </c>
      <c r="B37" s="25">
        <f> 专家核实通过数 / 采集完成数 x 100%</f>
        <v/>
      </c>
      <c r="C37" s="25" t="inlineStr">
        <is>
          <t>专家核实通过数(col J), 采集完成数(col H)</t>
        </is>
      </c>
    </row>
  </sheetData>
  <mergeCells count="9">
    <mergeCell ref="L3:M3"/>
    <mergeCell ref="N3:O3"/>
    <mergeCell ref="A1:P1"/>
    <mergeCell ref="C3:E3"/>
    <mergeCell ref="A30:P30"/>
    <mergeCell ref="I3:K3"/>
    <mergeCell ref="F3:H3"/>
    <mergeCell ref="A3:B3"/>
    <mergeCell ref="A2:P2"/>
  </mergeCells>
  <dataValidations count="6">
    <dataValidation sqref="C5:C104" showDropDown="0" showInputMessage="0" showErrorMessage="0" allowBlank="1" type="list">
      <formula1>"03月,04月,05月,06月,07月,08月,09月,10月,11月,12月,01月,02月"</formula1>
    </dataValidation>
    <dataValidation sqref="D5:D104" showDropDown="0" showInputMessage="0" showErrorMessage="0" allowBlank="1" type="list">
      <formula1>"市场价,采购建议价"</formula1>
    </dataValidation>
    <dataValidation sqref="E5:E104" showDropDown="0" showInputMessage="0" showErrorMessage="0" allowBlank="1" type="list">
      <formula1>"价格采集,价格更新,全系列报价单,聚合比价"</formula1>
    </dataValidation>
    <dataValidation sqref="G5:G104" showDropDown="0" showInputMessage="0" showErrorMessage="0" allowBlank="1" type="list">
      <formula1>"AI比价,更新,聚合1:3,地区特性,市场部,其他"</formula1>
    </dataValidation>
    <dataValidation sqref="L5:L104" showDropDown="0" showInputMessage="0" showErrorMessage="0" allowBlank="1" type="list">
      <formula1>"是,进行中,关闭,暂未启动"</formula1>
    </dataValidation>
    <dataValidation sqref="M5:M104" showDropDown="0" showInputMessage="0" showErrorMessage="0" allowBlank="1" type="list">
      <formula1>"是,否"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2" customWidth="1" min="4" max="4"/>
    <col width="10" customWidth="1" min="5" max="5"/>
    <col width="12" customWidth="1" min="6" max="6"/>
    <col width="12" customWidth="1" min="7" max="7"/>
    <col width="12" customWidth="1" min="8" max="8"/>
  </cols>
  <sheetData>
    <row r="1" ht="30" customHeight="1">
      <c r="A1" s="1" t="inlineStr">
        <is>
          <t>结算与预算 - 成本预算都在这里</t>
        </is>
      </c>
    </row>
    <row r="2">
      <c r="A2" s="26" t="inlineStr">
        <is>
          <t>预算总览</t>
        </is>
      </c>
    </row>
    <row r="3">
      <c r="A3" s="27" t="inlineStr">
        <is>
          <t>项目</t>
        </is>
      </c>
      <c r="B3" s="27" t="inlineStr">
        <is>
          <t>金额(元)</t>
        </is>
      </c>
      <c r="C3" s="27" t="inlineStr">
        <is>
          <t>占比</t>
        </is>
      </c>
      <c r="D3" s="27" t="inlineStr">
        <is>
          <t>说明</t>
        </is>
      </c>
    </row>
    <row r="4">
      <c r="A4" s="28" t="inlineStr">
        <is>
          <t>年度总预算</t>
        </is>
      </c>
      <c r="B4" s="18" t="n">
        <v>3900000</v>
      </c>
      <c r="C4" s="19" t="inlineStr">
        <is>
          <t>100%</t>
        </is>
      </c>
      <c r="D4" s="19" t="inlineStr">
        <is>
          <t>2026年度数据采集预算总额</t>
        </is>
      </c>
    </row>
    <row r="5">
      <c r="A5" s="28" t="inlineStr">
        <is>
          <t>已支出(1-3月)</t>
        </is>
      </c>
      <c r="B5" s="18" t="n">
        <v>348113.6</v>
      </c>
      <c r="C5" s="19" t="inlineStr">
        <is>
          <t>8.9%</t>
        </is>
      </c>
      <c r="D5" s="19" t="inlineStr">
        <is>
          <t>1-3月实际结算金额</t>
        </is>
      </c>
    </row>
    <row r="6">
      <c r="A6" s="28" t="inlineStr">
        <is>
          <t>剩余预算</t>
        </is>
      </c>
      <c r="B6" s="18" t="n">
        <v>3551886.4</v>
      </c>
      <c r="C6" s="19" t="inlineStr">
        <is>
          <t>91.1%</t>
        </is>
      </c>
      <c r="D6" s="19" t="inlineStr">
        <is>
          <t>4-12月可用</t>
        </is>
      </c>
    </row>
    <row r="8">
      <c r="A8" s="26" t="inlineStr">
        <is>
          <t>按需求类型预算执行</t>
        </is>
      </c>
    </row>
    <row r="9">
      <c r="A9" s="15" t="inlineStr">
        <is>
          <t>需求类型</t>
        </is>
      </c>
      <c r="B9" s="15" t="inlineStr">
        <is>
          <t>数量</t>
        </is>
      </c>
      <c r="C9" s="15" t="inlineStr">
        <is>
          <t>单价(元)</t>
        </is>
      </c>
      <c r="D9" s="15" t="inlineStr">
        <is>
          <t>已支出(元)</t>
        </is>
      </c>
      <c r="E9" s="15" t="inlineStr">
        <is>
          <t>预测全年</t>
        </is>
      </c>
      <c r="F9" s="15" t="inlineStr">
        <is>
          <t>预算上限(建议)</t>
        </is>
      </c>
      <c r="G9" s="15" t="inlineStr">
        <is>
          <t>执行率</t>
        </is>
      </c>
      <c r="H9" s="15" t="inlineStr">
        <is>
          <t>说明</t>
        </is>
      </c>
    </row>
    <row r="10">
      <c r="A10" s="19" t="inlineStr">
        <is>
          <t>价格采集</t>
        </is>
      </c>
      <c r="B10" s="18" t="n">
        <v>53597</v>
      </c>
      <c r="C10" s="18" t="n">
        <v>4.7</v>
      </c>
      <c r="D10" s="18" t="n">
        <v>250162</v>
      </c>
      <c r="E10" s="19" t="inlineStr"/>
      <c r="F10" s="19" t="inlineStr"/>
      <c r="G10" s="19" t="inlineStr"/>
      <c r="H10" s="19" t="inlineStr">
        <is>
          <t>已有6个月数据</t>
        </is>
      </c>
    </row>
    <row r="11">
      <c r="A11" s="19" t="inlineStr">
        <is>
          <t>价格更新</t>
        </is>
      </c>
      <c r="B11" s="18" t="n">
        <v>12131</v>
      </c>
      <c r="C11" s="18" t="n">
        <v>2.3</v>
      </c>
      <c r="D11" s="18" t="n">
        <v>27901</v>
      </c>
      <c r="E11" s="19" t="inlineStr"/>
      <c r="F11" s="19" t="inlineStr"/>
      <c r="G11" s="19" t="inlineStr"/>
      <c r="H11" s="19" t="inlineStr">
        <is>
          <t>已有3个月数据</t>
        </is>
      </c>
    </row>
    <row r="12">
      <c r="A12" s="19" t="inlineStr">
        <is>
          <t>全系列报价单</t>
        </is>
      </c>
      <c r="B12" s="18" t="n">
        <v>467</v>
      </c>
      <c r="C12" s="18" t="n">
        <v>150</v>
      </c>
      <c r="D12" s="18" t="n">
        <v>70050</v>
      </c>
      <c r="E12" s="19" t="inlineStr"/>
      <c r="F12" s="19" t="inlineStr"/>
      <c r="G12" s="19" t="inlineStr"/>
      <c r="H12" s="19" t="inlineStr">
        <is>
          <t>已有3个月数据</t>
        </is>
      </c>
    </row>
    <row r="13">
      <c r="A13" s="19" t="inlineStr">
        <is>
          <t>信息价采集</t>
        </is>
      </c>
      <c r="B13" s="19" t="n">
        <v>0</v>
      </c>
      <c r="C13" s="19" t="inlineStr"/>
      <c r="D13" s="19" t="n">
        <v>0</v>
      </c>
      <c r="E13" s="19" t="inlineStr"/>
      <c r="F13" s="19" t="inlineStr"/>
      <c r="G13" s="19" t="inlineStr"/>
      <c r="H13" s="19" t="inlineStr">
        <is>
          <t>暂无数据</t>
        </is>
      </c>
    </row>
    <row r="15">
      <c r="A15" s="26" t="inlineStr">
        <is>
          <t>结算明细(原始数据)</t>
        </is>
      </c>
    </row>
    <row r="16">
      <c r="A16" s="27" t="inlineStr">
        <is>
          <t>月份</t>
        </is>
      </c>
      <c r="B16" s="27" t="inlineStr">
        <is>
          <t>产品模块</t>
        </is>
      </c>
      <c r="C16" s="27" t="inlineStr">
        <is>
          <t>需求类型</t>
        </is>
      </c>
      <c r="D16" s="27" t="inlineStr">
        <is>
          <t>需求数量</t>
        </is>
      </c>
      <c r="E16" s="27" t="inlineStr">
        <is>
          <t>结算单价</t>
        </is>
      </c>
      <c r="F16" s="27" t="inlineStr">
        <is>
          <t>结算金额</t>
        </is>
      </c>
      <c r="G16" s="14" t="n"/>
      <c r="H16" s="14" t="n"/>
    </row>
    <row r="17">
      <c r="A17" s="19" t="inlineStr">
        <is>
          <t>1月</t>
        </is>
      </c>
      <c r="B17" s="19" t="inlineStr">
        <is>
          <t>市场价</t>
        </is>
      </c>
      <c r="C17" s="19" t="inlineStr">
        <is>
          <t>价格采集</t>
        </is>
      </c>
      <c r="D17" s="18" t="n">
        <v>3821</v>
      </c>
      <c r="E17" s="18" t="n">
        <v>5</v>
      </c>
      <c r="F17" s="18" t="n">
        <v>19105</v>
      </c>
    </row>
    <row r="18">
      <c r="A18" s="19" t="inlineStr">
        <is>
          <t>1月</t>
        </is>
      </c>
      <c r="B18" s="19" t="inlineStr">
        <is>
          <t>市场价</t>
        </is>
      </c>
      <c r="C18" s="19" t="inlineStr">
        <is>
          <t>价格更新</t>
        </is>
      </c>
      <c r="D18" s="18" t="n">
        <v>289</v>
      </c>
      <c r="E18" s="18" t="n">
        <v>2.3</v>
      </c>
      <c r="F18" s="18" t="n">
        <v>664.6999999999999</v>
      </c>
    </row>
    <row r="19">
      <c r="A19" s="19" t="inlineStr">
        <is>
          <t>1月</t>
        </is>
      </c>
      <c r="B19" s="19" t="inlineStr">
        <is>
          <t>市场价</t>
        </is>
      </c>
      <c r="C19" s="19" t="inlineStr">
        <is>
          <t>全系列报价单</t>
        </is>
      </c>
      <c r="D19" s="18" t="n">
        <v>460</v>
      </c>
      <c r="E19" s="18" t="n">
        <v>150</v>
      </c>
      <c r="F19" s="18" t="n">
        <v>69000</v>
      </c>
    </row>
    <row r="20">
      <c r="A20" s="19" t="inlineStr">
        <is>
          <t>1月</t>
        </is>
      </c>
      <c r="B20" s="19" t="inlineStr">
        <is>
          <t>信息价采集</t>
        </is>
      </c>
      <c r="C20" s="19" t="inlineStr">
        <is>
          <t>价格采集</t>
        </is>
      </c>
      <c r="D20" s="18" t="n">
        <v>3576</v>
      </c>
      <c r="E20" s="18" t="n">
        <v>2.3</v>
      </c>
      <c r="F20" s="18" t="n">
        <v>8224.799999999999</v>
      </c>
    </row>
    <row r="21">
      <c r="A21" s="19" t="inlineStr">
        <is>
          <t>2月</t>
        </is>
      </c>
      <c r="B21" s="19" t="inlineStr">
        <is>
          <t>市场价</t>
        </is>
      </c>
      <c r="C21" s="19" t="inlineStr">
        <is>
          <t>价格采集</t>
        </is>
      </c>
      <c r="D21" s="18" t="n">
        <v>17279</v>
      </c>
      <c r="E21" s="18" t="n">
        <v>5</v>
      </c>
      <c r="F21" s="18" t="n">
        <v>86395</v>
      </c>
    </row>
    <row r="22">
      <c r="A22" s="19" t="inlineStr">
        <is>
          <t>2月</t>
        </is>
      </c>
      <c r="B22" s="19" t="inlineStr">
        <is>
          <t>市场价</t>
        </is>
      </c>
      <c r="C22" s="19" t="inlineStr">
        <is>
          <t>价格更新</t>
        </is>
      </c>
      <c r="D22" s="18" t="n">
        <v>11807</v>
      </c>
      <c r="E22" s="18" t="n">
        <v>2.3</v>
      </c>
      <c r="F22" s="18" t="n">
        <v>27156.1</v>
      </c>
    </row>
    <row r="23">
      <c r="A23" s="19" t="inlineStr">
        <is>
          <t>2月</t>
        </is>
      </c>
      <c r="B23" s="19" t="inlineStr">
        <is>
          <t>市场价</t>
        </is>
      </c>
      <c r="C23" s="19" t="inlineStr">
        <is>
          <t>全系列报价单</t>
        </is>
      </c>
      <c r="D23" s="18" t="n">
        <v>2</v>
      </c>
      <c r="E23" s="18" t="n">
        <v>150</v>
      </c>
      <c r="F23" s="18" t="n">
        <v>300</v>
      </c>
    </row>
    <row r="24">
      <c r="A24" s="19" t="inlineStr">
        <is>
          <t>2月</t>
        </is>
      </c>
      <c r="B24" s="19" t="inlineStr">
        <is>
          <t>信息价采集</t>
        </is>
      </c>
      <c r="C24" s="19" t="inlineStr">
        <is>
          <t>价格采集</t>
        </is>
      </c>
      <c r="D24" s="18" t="n">
        <v>390</v>
      </c>
      <c r="E24" s="18" t="n">
        <v>2.3</v>
      </c>
      <c r="F24" s="18" t="n">
        <v>896.9999999999999</v>
      </c>
    </row>
    <row r="25">
      <c r="A25" s="19" t="inlineStr">
        <is>
          <t>3月</t>
        </is>
      </c>
      <c r="B25" s="19" t="inlineStr">
        <is>
          <t>市场价</t>
        </is>
      </c>
      <c r="C25" s="19" t="inlineStr">
        <is>
          <t>价格采集</t>
        </is>
      </c>
      <c r="D25" s="18" t="n">
        <v>25896</v>
      </c>
      <c r="E25" s="18" t="n">
        <v>5</v>
      </c>
      <c r="F25" s="18" t="n">
        <v>129480</v>
      </c>
    </row>
    <row r="26">
      <c r="A26" s="19" t="inlineStr">
        <is>
          <t>3月</t>
        </is>
      </c>
      <c r="B26" s="19" t="inlineStr">
        <is>
          <t>市场价</t>
        </is>
      </c>
      <c r="C26" s="19" t="inlineStr">
        <is>
          <t>价格更新</t>
        </is>
      </c>
      <c r="D26" s="18" t="n">
        <v>35</v>
      </c>
      <c r="E26" s="18" t="n">
        <v>2.3</v>
      </c>
      <c r="F26" s="18" t="n">
        <v>80.5</v>
      </c>
    </row>
    <row r="27">
      <c r="A27" s="19" t="inlineStr">
        <is>
          <t>3月</t>
        </is>
      </c>
      <c r="B27" s="19" t="inlineStr">
        <is>
          <t>市场价</t>
        </is>
      </c>
      <c r="C27" s="19" t="inlineStr">
        <is>
          <t>全系列报价单</t>
        </is>
      </c>
      <c r="D27" s="18" t="n">
        <v>5</v>
      </c>
      <c r="E27" s="18" t="n">
        <v>150</v>
      </c>
      <c r="F27" s="18" t="n">
        <v>750</v>
      </c>
    </row>
    <row r="28">
      <c r="A28" s="19" t="inlineStr">
        <is>
          <t>3月</t>
        </is>
      </c>
      <c r="B28" s="19" t="inlineStr">
        <is>
          <t>信息价采集</t>
        </is>
      </c>
      <c r="C28" s="19" t="inlineStr">
        <is>
          <t>价格采集</t>
        </is>
      </c>
      <c r="D28" s="18" t="n">
        <v>2635</v>
      </c>
      <c r="E28" s="18" t="n">
        <v>2.3</v>
      </c>
      <c r="F28" s="18" t="n">
        <v>6060.499999999999</v>
      </c>
    </row>
    <row r="29">
      <c r="A29" s="19" t="inlineStr">
        <is>
          <t>4月</t>
        </is>
      </c>
      <c r="B29" s="19" t="inlineStr">
        <is>
          <t>市场价</t>
        </is>
      </c>
      <c r="C29" s="19" t="inlineStr">
        <is>
          <t>价格采集</t>
        </is>
      </c>
      <c r="D29" s="18" t="n">
        <v>19910</v>
      </c>
      <c r="E29" s="19" t="inlineStr"/>
      <c r="F29" s="19" t="inlineStr"/>
    </row>
    <row r="30">
      <c r="A30" s="29" t="inlineStr">
        <is>
          <t>总预算</t>
        </is>
      </c>
      <c r="B30" s="30" t="inlineStr">
        <is>
          <t>3,900,000 元</t>
        </is>
      </c>
      <c r="C30" s="31" t="n"/>
      <c r="D30" s="31" t="n"/>
      <c r="E30" s="31" t="n"/>
      <c r="F30" s="32" t="inlineStr">
        <is>
          <t>执行率</t>
        </is>
      </c>
      <c r="G30" s="33" t="inlineStr">
        <is>
          <t>8.9%</t>
        </is>
      </c>
      <c r="H30" s="31" t="n"/>
    </row>
  </sheetData>
  <mergeCells count="5">
    <mergeCell ref="A15:H15"/>
    <mergeCell ref="A2:H2"/>
    <mergeCell ref="B30:E30"/>
    <mergeCell ref="A1:H1"/>
    <mergeCell ref="A8:H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10" customWidth="1" min="3" max="3"/>
    <col width="12" customWidth="1" min="4" max="4"/>
    <col width="10" customWidth="1" min="5" max="5"/>
    <col width="12" customWidth="1" min="6" max="6"/>
    <col width="14" customWidth="1" min="7" max="7"/>
    <col width="10" customWidth="1" min="8" max="8"/>
    <col width="14" customWidth="1" min="9" max="9"/>
    <col width="10" customWidth="1" min="10" max="10"/>
    <col width="12" customWidth="1" min="11" max="11"/>
    <col width="12" customWidth="1" min="12" max="12"/>
    <col width="10" customWidth="1" min="13" max="13"/>
    <col width="10" customWidth="1" min="14" max="14"/>
    <col width="30" customWidth="1" min="15" max="15"/>
    <col width="10" customWidth="1" min="16" max="16"/>
  </cols>
  <sheetData>
    <row r="1" ht="30" customHeight="1">
      <c r="A1" s="34" t="inlineStr">
        <is>
          <t>供采试点项目 - 外包咬合 &amp; 付费匹配</t>
        </is>
      </c>
    </row>
    <row r="3">
      <c r="A3" s="15" t="inlineStr">
        <is>
          <t>序号</t>
        </is>
      </c>
      <c r="B3" s="15" t="inlineStr">
        <is>
          <t>需求项</t>
        </is>
      </c>
      <c r="C3" s="15" t="inlineStr">
        <is>
          <t>结算类型</t>
        </is>
      </c>
      <c r="D3" s="15" t="inlineStr">
        <is>
          <t>数据来源</t>
        </is>
      </c>
      <c r="E3" s="15" t="inlineStr">
        <is>
          <t>试点月份</t>
        </is>
      </c>
      <c r="F3" s="15" t="inlineStr">
        <is>
          <t>收到数量</t>
        </is>
      </c>
      <c r="G3" s="15" t="inlineStr">
        <is>
          <t>咬合后新增分配</t>
        </is>
      </c>
      <c r="H3" s="15" t="inlineStr">
        <is>
          <t>咬合占比</t>
        </is>
      </c>
      <c r="I3" s="15" t="inlineStr">
        <is>
          <t>付费匹配数量</t>
        </is>
      </c>
      <c r="J3" s="15" t="inlineStr">
        <is>
          <t>付费占比</t>
        </is>
      </c>
      <c r="K3" s="13" t="inlineStr">
        <is>
          <t>下发时间</t>
        </is>
      </c>
      <c r="L3" s="13" t="inlineStr">
        <is>
          <t>预计采集支出</t>
        </is>
      </c>
      <c r="M3" s="13" t="inlineStr">
        <is>
          <t>完成时间</t>
        </is>
      </c>
      <c r="N3" s="13" t="inlineStr">
        <is>
          <t>完成情况</t>
        </is>
      </c>
      <c r="O3" s="13" t="inlineStr">
        <is>
          <t>备注</t>
        </is>
      </c>
      <c r="P3" s="13" t="inlineStr">
        <is>
          <t>是否闭环</t>
        </is>
      </c>
    </row>
    <row r="4">
      <c r="A4" s="19" t="n">
        <v>1</v>
      </c>
      <c r="B4" s="19" t="inlineStr">
        <is>
          <t>市场价</t>
        </is>
      </c>
      <c r="C4" s="19" t="inlineStr">
        <is>
          <t>价格采集</t>
        </is>
      </c>
      <c r="D4" s="19" t="inlineStr">
        <is>
          <t>北京比价</t>
        </is>
      </c>
      <c r="E4" s="19" t="inlineStr">
        <is>
          <t>4月</t>
        </is>
      </c>
      <c r="F4" s="19" t="n">
        <v>445</v>
      </c>
      <c r="G4" s="19" t="n">
        <v>381</v>
      </c>
      <c r="H4" s="35" t="n">
        <v>0.8561797752808988</v>
      </c>
      <c r="I4" s="19" t="inlineStr"/>
      <c r="J4" s="19" t="n">
        <v>0</v>
      </c>
      <c r="K4" s="19" t="inlineStr"/>
      <c r="L4" s="19" t="inlineStr"/>
      <c r="M4" s="19" t="inlineStr"/>
      <c r="N4" s="19" t="inlineStr"/>
      <c r="O4" s="19" t="inlineStr">
        <is>
          <t>与供采共识后暂不下发，因会议确认的试点地区是广东和浙江</t>
        </is>
      </c>
      <c r="P4" s="19" t="inlineStr"/>
      <c r="Q4" s="19" t="inlineStr"/>
    </row>
    <row r="5">
      <c r="A5" s="19" t="n">
        <v>2</v>
      </c>
      <c r="B5" s="19" t="inlineStr">
        <is>
          <t>市场价</t>
        </is>
      </c>
      <c r="C5" s="19" t="inlineStr">
        <is>
          <t>价格采集</t>
        </is>
      </c>
      <c r="D5" s="19" t="inlineStr">
        <is>
          <t>河北比价</t>
        </is>
      </c>
      <c r="E5" s="19" t="inlineStr">
        <is>
          <t>4月</t>
        </is>
      </c>
      <c r="F5" s="19" t="n">
        <v>77</v>
      </c>
      <c r="G5" s="19" t="n">
        <v>67</v>
      </c>
      <c r="H5" s="35" t="n">
        <v>0.8701298701298701</v>
      </c>
      <c r="I5" s="19" t="inlineStr"/>
      <c r="J5" s="19" t="n">
        <v>0</v>
      </c>
      <c r="K5" s="19" t="inlineStr"/>
      <c r="L5" s="19" t="inlineStr"/>
      <c r="M5" s="19" t="inlineStr"/>
      <c r="N5" s="19" t="inlineStr"/>
      <c r="O5" s="19" t="inlineStr">
        <is>
          <t>与供采共识后暂不下发，因会议确认的试点地区是广东和浙江</t>
        </is>
      </c>
      <c r="P5" s="19" t="inlineStr"/>
      <c r="Q5" s="19" t="inlineStr"/>
    </row>
    <row r="6">
      <c r="A6" s="19" t="n">
        <v>3</v>
      </c>
      <c r="B6" s="19" t="inlineStr">
        <is>
          <t>市场价</t>
        </is>
      </c>
      <c r="C6" s="19" t="inlineStr">
        <is>
          <t>价格采集</t>
        </is>
      </c>
      <c r="D6" s="19" t="inlineStr">
        <is>
          <t>浙江比价</t>
        </is>
      </c>
      <c r="E6" s="19" t="inlineStr">
        <is>
          <t>4月</t>
        </is>
      </c>
      <c r="F6" s="19" t="n">
        <v>535</v>
      </c>
      <c r="G6" s="19" t="n">
        <v>454</v>
      </c>
      <c r="H6" s="35" t="n">
        <v>0.8485981308411215</v>
      </c>
      <c r="I6" s="19" t="n">
        <v>163</v>
      </c>
      <c r="J6" s="35" t="n">
        <v>0.3590308370044053</v>
      </c>
      <c r="K6" s="19" t="inlineStr">
        <is>
          <t>4月21日</t>
        </is>
      </c>
      <c r="L6" s="19" t="n">
        <v>8025</v>
      </c>
      <c r="M6" s="19" t="inlineStr"/>
      <c r="N6" s="19" t="inlineStr"/>
      <c r="O6" s="19" t="inlineStr">
        <is>
          <t>正式需求</t>
        </is>
      </c>
      <c r="P6" s="19" t="inlineStr"/>
      <c r="Q6" s="19" t="inlineStr"/>
    </row>
    <row r="7">
      <c r="A7" s="19" t="n">
        <v>4</v>
      </c>
      <c r="B7" s="19" t="inlineStr">
        <is>
          <t>市场价</t>
        </is>
      </c>
      <c r="C7" s="19" t="inlineStr">
        <is>
          <t>价格采集</t>
        </is>
      </c>
      <c r="D7" s="19" t="inlineStr">
        <is>
          <t>广东比价</t>
        </is>
      </c>
      <c r="E7" s="19" t="inlineStr">
        <is>
          <t>4月</t>
        </is>
      </c>
      <c r="F7" s="19" t="n">
        <v>1318</v>
      </c>
      <c r="G7" s="19" t="n">
        <v>1050</v>
      </c>
      <c r="H7" s="35" t="n">
        <v>0.7966616084977238</v>
      </c>
      <c r="I7" s="19" t="n">
        <v>872</v>
      </c>
      <c r="J7" s="35" t="n">
        <v>0.8304761904761905</v>
      </c>
      <c r="K7" s="19" t="inlineStr">
        <is>
          <t>4月24日</t>
        </is>
      </c>
      <c r="L7" s="19" t="n">
        <v>19770</v>
      </c>
      <c r="M7" s="19" t="inlineStr"/>
      <c r="N7" s="19" t="inlineStr"/>
      <c r="O7" s="19" t="inlineStr">
        <is>
          <t>原始需求（业务专家未分析）</t>
        </is>
      </c>
      <c r="P7" s="19" t="inlineStr"/>
      <c r="Q7" s="19" t="inlineStr"/>
    </row>
  </sheetData>
  <mergeCells count="1">
    <mergeCell ref="A1: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30" customWidth="1" min="4" max="4"/>
    <col width="10" customWidth="1" min="5" max="5"/>
  </cols>
  <sheetData>
    <row r="1" ht="28" customHeight="1">
      <c r="A1" s="34" t="inlineStr">
        <is>
          <t>数据缺失清单 - 优先补充红色的</t>
        </is>
      </c>
    </row>
    <row r="3">
      <c r="A3" s="36" t="inlineStr">
        <is>
          <t>缺失字段</t>
        </is>
      </c>
      <c r="B3" s="36" t="inlineStr">
        <is>
          <t>看板用途</t>
        </is>
      </c>
      <c r="C3" s="36" t="inlineStr">
        <is>
          <t>当前状态</t>
        </is>
      </c>
      <c r="D3" s="36" t="inlineStr">
        <is>
          <t>补充方式</t>
        </is>
      </c>
      <c r="E3" s="36" t="inlineStr">
        <is>
          <t>优先级</t>
        </is>
      </c>
    </row>
    <row r="4">
      <c r="A4" s="19" t="inlineStr">
        <is>
          <t>材料反馈数</t>
        </is>
      </c>
      <c r="B4" s="19" t="inlineStr">
        <is>
          <t>KPI:材料反馈率(当前0%)</t>
        </is>
      </c>
      <c r="C4" s="19" t="inlineStr">
        <is>
          <t>原始表无此字段</t>
        </is>
      </c>
      <c r="D4" s="19" t="inlineStr">
        <is>
          <t>每项任务采集完成后统计反馈材料数</t>
        </is>
      </c>
      <c r="E4" s="37" t="inlineStr">
        <is>
          <t>P0</t>
        </is>
      </c>
    </row>
    <row r="5">
      <c r="A5" s="19" t="inlineStr">
        <is>
          <t>打回根因</t>
        </is>
      </c>
      <c r="B5" s="19" t="inlineStr">
        <is>
          <t>打回根因分布图</t>
        </is>
      </c>
      <c r="C5" s="19" t="inlineStr">
        <is>
          <t>原始表无</t>
        </is>
      </c>
      <c r="D5" s="19" t="inlineStr">
        <is>
          <t>记录打回原因:质量/延迟/缺少/其他</t>
        </is>
      </c>
      <c r="E5" s="38" t="inlineStr">
        <is>
          <t>P1</t>
        </is>
      </c>
    </row>
    <row r="6">
      <c r="A6" s="19" t="inlineStr">
        <is>
          <t>上线日期</t>
        </is>
      </c>
      <c r="B6" s="19" t="inlineStr">
        <is>
          <t>上线及时率(当前用下发日期替代)</t>
        </is>
      </c>
      <c r="C6" s="19" t="inlineStr">
        <is>
          <t>原始表无</t>
        </is>
      </c>
      <c r="D6" s="19" t="inlineStr">
        <is>
          <t>发布时记录日期</t>
        </is>
      </c>
      <c r="E6" s="37" t="inlineStr">
        <is>
          <t>P0</t>
        </is>
      </c>
    </row>
    <row r="7">
      <c r="A7" s="19" t="inlineStr">
        <is>
          <t>5-6月结算明细</t>
        </is>
      </c>
      <c r="B7" s="19" t="inlineStr">
        <is>
          <t>月度趋势完整度</t>
        </is>
      </c>
      <c r="C7" s="19" t="inlineStr">
        <is>
          <t>4月后未录入</t>
        </is>
      </c>
      <c r="D7" s="19" t="inlineStr">
        <is>
          <t>导出5-6月结算数据</t>
        </is>
      </c>
      <c r="E7" s="37" t="inlineStr">
        <is>
          <t>P0</t>
        </is>
      </c>
    </row>
    <row r="8">
      <c r="A8" s="19" t="inlineStr">
        <is>
          <t>分项预算上限</t>
        </is>
      </c>
      <c r="B8" s="19" t="inlineStr">
        <is>
          <t>预算执行率分母精确</t>
        </is>
      </c>
      <c r="C8" s="19" t="inlineStr">
        <is>
          <t>未设定</t>
        </is>
      </c>
      <c r="D8" s="19" t="inlineStr">
        <is>
          <t>设置价格采集/更新/报价单各预算上限</t>
        </is>
      </c>
      <c r="E8" s="38" t="inlineStr">
        <is>
          <t>P1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22" customWidth="1" min="3" max="3"/>
    <col width="36" customWidth="1" min="4" max="4"/>
  </cols>
  <sheetData>
    <row r="1" ht="28" customHeight="1">
      <c r="A1" s="34" t="inlineStr">
        <is>
          <t>字段对照 - 原始表格 vs 看板字段 vs 录入方式</t>
        </is>
      </c>
    </row>
    <row r="3">
      <c r="A3" s="36" t="inlineStr">
        <is>
          <t>原始表字段名</t>
        </is>
      </c>
      <c r="B3" s="36" t="inlineStr">
        <is>
          <t>看板字段</t>
        </is>
      </c>
      <c r="C3" s="36" t="inlineStr">
        <is>
          <t>录入方式</t>
        </is>
      </c>
      <c r="D3" s="36" t="inlineStr">
        <is>
          <t>说明</t>
        </is>
      </c>
    </row>
    <row r="4">
      <c r="A4" s="39" t="inlineStr">
        <is>
          <t>项目名称</t>
        </is>
      </c>
      <c r="B4" s="40" t="inlineStr">
        <is>
          <t>任务名称</t>
        </is>
      </c>
      <c r="C4" s="40" t="inlineStr">
        <is>
          <t>手动</t>
        </is>
      </c>
      <c r="D4" s="40" t="inlineStr">
        <is>
          <t>原始表第5列</t>
        </is>
      </c>
    </row>
    <row r="5">
      <c r="A5" s="39" t="inlineStr">
        <is>
          <t>需求月份</t>
        </is>
      </c>
      <c r="B5" s="40" t="inlineStr">
        <is>
          <t>月份</t>
        </is>
      </c>
      <c r="C5" s="40" t="inlineStr">
        <is>
          <t>手动(下拉)</t>
        </is>
      </c>
      <c r="D5" s="40" t="inlineStr">
        <is>
          <t>原始表第32列</t>
        </is>
      </c>
    </row>
    <row r="6">
      <c r="A6" s="39" t="inlineStr">
        <is>
          <t>需求项</t>
        </is>
      </c>
      <c r="B6" s="40" t="inlineStr">
        <is>
          <t>需求项</t>
        </is>
      </c>
      <c r="C6" s="40" t="inlineStr">
        <is>
          <t>手动(下拉)</t>
        </is>
      </c>
      <c r="D6" s="40" t="inlineStr">
        <is>
          <t>原始表第2列</t>
        </is>
      </c>
    </row>
    <row r="7">
      <c r="A7" s="39" t="inlineStr">
        <is>
          <t>结算类型</t>
        </is>
      </c>
      <c r="B7" s="40" t="inlineStr">
        <is>
          <t>结算类型</t>
        </is>
      </c>
      <c r="C7" s="40" t="inlineStr">
        <is>
          <t>手动(下拉)</t>
        </is>
      </c>
      <c r="D7" s="40" t="inlineStr">
        <is>
          <t>原始表第4列</t>
        </is>
      </c>
    </row>
    <row r="8">
      <c r="A8" s="39" t="inlineStr">
        <is>
          <t>新发需求(采购商)</t>
        </is>
      </c>
      <c r="B8" s="40" t="inlineStr">
        <is>
          <t>需求量 demandQty</t>
        </is>
      </c>
      <c r="C8" s="40" t="inlineStr">
        <is>
          <t>手动</t>
        </is>
      </c>
      <c r="D8" s="40" t="inlineStr">
        <is>
          <t>原始表第12列</t>
        </is>
      </c>
    </row>
    <row r="9">
      <c r="A9" s="39" t="inlineStr">
        <is>
          <t>数据来源</t>
        </is>
      </c>
      <c r="B9" s="40" t="inlineStr">
        <is>
          <t>数据来源</t>
        </is>
      </c>
      <c r="C9" s="40" t="inlineStr">
        <is>
          <t>手动(下拉)</t>
        </is>
      </c>
      <c r="D9" s="40" t="inlineStr">
        <is>
          <t>原始表第6列</t>
        </is>
      </c>
    </row>
    <row r="10">
      <c r="A10" s="39" t="inlineStr">
        <is>
          <t>实际采集完成数</t>
        </is>
      </c>
      <c r="B10" s="40" t="inlineStr">
        <is>
          <t>采集完成数 collected</t>
        </is>
      </c>
      <c r="C10" s="40" t="inlineStr">
        <is>
          <t>手动</t>
        </is>
      </c>
      <c r="D10" s="40" t="inlineStr">
        <is>
          <t>原始表第19列</t>
        </is>
      </c>
    </row>
    <row r="11">
      <c r="A11" s="39" t="inlineStr">
        <is>
          <t>专家核实通过数</t>
        </is>
      </c>
      <c r="B11" s="40" t="inlineStr">
        <is>
          <t>专家核实通过数</t>
        </is>
      </c>
      <c r="C11" s="40" t="inlineStr">
        <is>
          <t>手动 (已有)</t>
        </is>
      </c>
      <c r="D11" s="40" t="inlineStr">
        <is>
          <t>原始表第25列,已迁移</t>
        </is>
      </c>
    </row>
    <row r="12">
      <c r="A12" s="39" t="inlineStr">
        <is>
          <t>供应商确认不通过数</t>
        </is>
      </c>
      <c r="B12" s="40" t="inlineStr">
        <is>
          <t>不通过数</t>
        </is>
      </c>
      <c r="C12" s="40" t="inlineStr">
        <is>
          <t>手动 (已有)</t>
        </is>
      </c>
      <c r="D12" s="40" t="inlineStr">
        <is>
          <t>原始表第27列,可当打回数用</t>
        </is>
      </c>
    </row>
    <row r="13">
      <c r="A13" s="41" t="inlineStr">
        <is>
          <t>(新增)</t>
        </is>
      </c>
      <c r="B13" s="42" t="inlineStr">
        <is>
          <t>材料反馈数</t>
        </is>
      </c>
      <c r="C13" s="42" t="inlineStr">
        <is>
          <t>手动 (缺失)</t>
        </is>
      </c>
      <c r="D13" s="42" t="inlineStr">
        <is>
          <t>需新收集</t>
        </is>
      </c>
    </row>
    <row r="14">
      <c r="A14" s="41" t="inlineStr">
        <is>
          <t>(新增)</t>
        </is>
      </c>
      <c r="B14" s="42" t="inlineStr">
        <is>
          <t>打回根因</t>
        </is>
      </c>
      <c r="C14" s="42" t="inlineStr">
        <is>
          <t>手动 (缺失)</t>
        </is>
      </c>
      <c r="D14" s="42" t="inlineStr">
        <is>
          <t>新增字段</t>
        </is>
      </c>
    </row>
    <row r="15">
      <c r="A15" s="41" t="inlineStr">
        <is>
          <t>(新增)</t>
        </is>
      </c>
      <c r="B15" s="42" t="inlineStr">
        <is>
          <t>上线日期</t>
        </is>
      </c>
      <c r="C15" s="42" t="inlineStr">
        <is>
          <t>手动 (缺失)</t>
        </is>
      </c>
      <c r="D15" s="42" t="inlineStr">
        <is>
          <t>新增字段</t>
        </is>
      </c>
    </row>
    <row r="16">
      <c r="A16" s="39" t="inlineStr">
        <is>
          <t>是否闭环</t>
        </is>
      </c>
      <c r="B16" s="40" t="inlineStr">
        <is>
          <t>是否闭环</t>
        </is>
      </c>
      <c r="C16" s="40" t="inlineStr">
        <is>
          <t>手动(下拉)</t>
        </is>
      </c>
      <c r="D16" s="40" t="inlineStr">
        <is>
          <t>原始表第30列</t>
        </is>
      </c>
    </row>
    <row r="17">
      <c r="A17" s="39" t="inlineStr">
        <is>
          <t>是否全部闭环</t>
        </is>
      </c>
      <c r="B17" s="40" t="inlineStr">
        <is>
          <t>是否全部闭环</t>
        </is>
      </c>
      <c r="C17" s="40" t="inlineStr">
        <is>
          <t>手动(下拉)</t>
        </is>
      </c>
      <c r="D17" s="40" t="inlineStr">
        <is>
          <t>原始表第31列</t>
        </is>
      </c>
    </row>
    <row r="18">
      <c r="A18" s="43" t="inlineStr">
        <is>
          <t>需求准确率 0.xxx</t>
        </is>
      </c>
      <c r="B18" s="44" t="inlineStr">
        <is>
          <t>需求准确率</t>
        </is>
      </c>
      <c r="C18" s="44" t="inlineStr">
        <is>
          <t>自动</t>
        </is>
      </c>
      <c r="D18" s="44" t="inlineStr">
        <is>
          <t>看板自动算</t>
        </is>
      </c>
    </row>
    <row r="19">
      <c r="A19" s="43" t="inlineStr">
        <is>
          <t>(计算)</t>
        </is>
      </c>
      <c r="B19" s="44" t="inlineStr">
        <is>
          <t>采集完成率</t>
        </is>
      </c>
      <c r="C19" s="44" t="inlineStr">
        <is>
          <t>自动</t>
        </is>
      </c>
      <c r="D19" s="44" t="inlineStr">
        <is>
          <t>采集数/需求量</t>
        </is>
      </c>
    </row>
    <row r="20">
      <c r="A20" s="43" t="inlineStr">
        <is>
          <t>(计算)</t>
        </is>
      </c>
      <c r="B20" s="44" t="inlineStr">
        <is>
          <t>材料反馈率</t>
        </is>
      </c>
      <c r="C20" s="44" t="inlineStr">
        <is>
          <t>自动</t>
        </is>
      </c>
      <c r="D20" s="44" t="inlineStr">
        <is>
          <t>材料反馈数/采集数</t>
        </is>
      </c>
    </row>
    <row r="21">
      <c r="A21" s="43" t="inlineStr">
        <is>
          <t>(计算)</t>
        </is>
      </c>
      <c r="B21" s="44" t="inlineStr">
        <is>
          <t>专家核实通过率</t>
        </is>
      </c>
      <c r="C21" s="44" t="inlineStr">
        <is>
          <t>自动</t>
        </is>
      </c>
      <c r="D21" s="44" t="inlineStr">
        <is>
          <t>核实数/采集数</t>
        </is>
      </c>
    </row>
    <row r="22">
      <c r="A22" s="43" t="inlineStr">
        <is>
          <t>(计算)</t>
        </is>
      </c>
      <c r="B22" s="44" t="inlineStr">
        <is>
          <t>闭环率</t>
        </is>
      </c>
      <c r="C22" s="44" t="inlineStr">
        <is>
          <t>自动</t>
        </is>
      </c>
      <c r="D22" s="44" t="inlineStr">
        <is>
          <t>闭环任务数/总任务数</t>
        </is>
      </c>
    </row>
    <row r="23">
      <c r="A23" s="43" t="inlineStr">
        <is>
          <t>(计算)</t>
        </is>
      </c>
      <c r="B23" s="44" t="inlineStr">
        <is>
          <t>预算执行率</t>
        </is>
      </c>
      <c r="C23" s="44" t="inlineStr">
        <is>
          <t>自动</t>
        </is>
      </c>
      <c r="D23" s="44" t="inlineStr">
        <is>
          <t>已支出/总预算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2026-06-16T07:16:46Z</dcterms:created>
  <dcterms:modified xmlns:dcterms="http://purl.org/dc/terms/" xmlns:xsi="http://www.w3.org/2001/XMLSchema-instance" xsi:type="dcterms:W3CDTF">2026-06-16T07:16:46Z</dcterms:modified>
</cp:coreProperties>
</file>