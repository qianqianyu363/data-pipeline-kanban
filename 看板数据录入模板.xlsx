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录入主表" sheetId="1" state="visible" r:id="rId1"/>
    <sheet xmlns:r="http://schemas.openxmlformats.org/officeDocument/2006/relationships" name="结算明细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需求项对比" sheetId="4" state="visible" r:id="rId4"/>
    <sheet xmlns:r="http://schemas.openxmlformats.org/officeDocument/2006/relationships" name="缺失清单与行动" sheetId="5" state="visible" r:id="rId5"/>
    <sheet xmlns:r="http://schemas.openxmlformats.org/officeDocument/2006/relationships" name="字段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2C3E50"/>
      <sz val="14"/>
    </font>
    <font>
      <i val="1"/>
      <color rgb="007F8C8D"/>
      <sz val="9"/>
    </font>
    <font>
      <b val="1"/>
      <color rgb="00FFFFFF"/>
      <sz val="9"/>
    </font>
    <font>
      <b val="1"/>
      <color rgb="00FFFFFF"/>
      <sz val="11"/>
    </font>
    <font>
      <b val="1"/>
      <color rgb="00FFFFFF"/>
      <sz val="10"/>
    </font>
    <font>
      <i val="1"/>
      <color rgb="00E74C3C"/>
      <sz val="9"/>
    </font>
    <font>
      <i val="1"/>
      <color rgb="00BDC3C7"/>
      <sz val="9"/>
    </font>
    <font>
      <b val="1"/>
      <color rgb="002C3E50"/>
      <sz val="11"/>
    </font>
    <font>
      <color rgb="00555555"/>
      <sz val="9"/>
    </font>
    <font>
      <b val="1"/>
      <color rgb="002C3E50"/>
      <sz val="9"/>
    </font>
    <font>
      <color rgb="0095A5A6"/>
      <sz val="9"/>
    </font>
    <font>
      <color rgb="00F39C12"/>
    </font>
    <font>
      <b val="1"/>
      <color rgb="00E74C3C"/>
    </font>
    <font>
      <color rgb="0027AE60"/>
    </font>
    <font>
      <b val="1"/>
      <color rgb="002C3E50"/>
      <sz val="12"/>
    </font>
    <font>
      <b val="1"/>
      <color rgb="00E74C3C"/>
      <sz val="10"/>
    </font>
    <font>
      <i val="1"/>
      <color rgb="0027AE60"/>
      <sz val="10"/>
    </font>
    <font>
      <color rgb="0027AE60"/>
      <sz val="9"/>
    </font>
    <font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2980B9"/>
        <bgColor rgb="002980B9"/>
      </patternFill>
    </fill>
    <fill>
      <patternFill patternType="solid">
        <fgColor rgb="00BDC3C7"/>
        <bgColor rgb="00BDC3C7"/>
      </patternFill>
    </fill>
    <fill>
      <patternFill patternType="solid">
        <fgColor rgb="00FDEBD0"/>
        <bgColor rgb="00FDEBD0"/>
      </patternFill>
    </fill>
    <fill>
      <patternFill patternType="solid">
        <fgColor rgb="00F2F3F4"/>
        <bgColor rgb="00F2F3F4"/>
      </patternFill>
    </fill>
    <fill>
      <patternFill patternType="solid">
        <fgColor rgb="0095A5A6"/>
        <bgColor rgb="0095A5A6"/>
      </patternFill>
    </fill>
    <fill>
      <patternFill patternType="solid">
        <fgColor rgb="00E74C3C"/>
        <bgColor rgb="00E74C3C"/>
      </patternFill>
    </fill>
    <fill>
      <patternFill patternType="solid">
        <fgColor rgb="00FEF9E7"/>
        <bgColor rgb="00FEF9E7"/>
      </patternFill>
    </fill>
    <fill>
      <patternFill patternType="solid">
        <fgColor rgb="00F39C12"/>
        <bgColor rgb="00F39C12"/>
      </patternFill>
    </fill>
    <fill>
      <patternFill patternType="solid">
        <fgColor rgb="00D5F5E3"/>
        <bgColor rgb="00D5F5E3"/>
      </patternFill>
    </fill>
    <fill>
      <patternFill patternType="solid">
        <fgColor rgb="00D1F2EB"/>
        <bgColor rgb="00D1F2E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8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0" fontId="15" fillId="0" borderId="0" pivotButton="0" quotePrefix="0" xfId="0"/>
    <xf numFmtId="0" fontId="16" fillId="0" borderId="1" pivotButton="0" quotePrefix="0" xfId="0"/>
    <xf numFmtId="0" fontId="0" fillId="0" borderId="1" pivotButton="0" quotePrefix="0" xfId="0"/>
    <xf numFmtId="0" fontId="17" fillId="0" borderId="1" pivotButton="0" quotePrefix="0" xfId="0"/>
    <xf numFmtId="0" fontId="18" fillId="10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系统</author>
  </authors>
  <commentList>
    <comment ref="B4" authorId="0" shapeId="0">
      <text>
        <t>如：四川比价</t>
      </text>
    </comment>
    <comment ref="C4" authorId="0" shapeId="0">
      <text>
        <t>从下拉选</t>
      </text>
    </comment>
    <comment ref="D4" authorId="0" shapeId="0">
      <text>
        <t>市场价/采购建议价 — 看板筛选器按此切换</t>
      </text>
    </comment>
    <comment ref="E4" authorId="0" shapeId="0">
      <text>
        <t>价格采集/价格更新/全系列报价单/聚合比价</t>
      </text>
    </comment>
    <comment ref="F4" authorId="0" shapeId="0">
      <text>
        <t>AI比价/更新/聚合1:3/地区特性</t>
      </text>
    </comment>
    <comment ref="G4" authorId="0" shapeId="0">
      <text>
        <t>⚠️ 必填 下发的总条数</t>
      </text>
    </comment>
    <comment ref="H4" authorId="0" shapeId="0">
      <text>
        <t>⚠️ 必填 实际采集到的条数</t>
      </text>
    </comment>
    <comment ref="I4" authorId="0" shapeId="0">
      <text>
        <t>自动= collected÷demandQty</t>
      </text>
    </comment>
    <comment ref="J4" authorId="0" shapeId="0">
      <text>
        <t>❌ 当前缺失，请补充</t>
      </text>
    </comment>
    <comment ref="K4" authorId="0" shapeId="0">
      <text>
        <t>自动= feedbackMat÷collected</t>
      </text>
    </comment>
    <comment ref="L4" authorId="0" shapeId="0">
      <text>
        <t>❌ 当前缺失，请补充</t>
      </text>
    </comment>
    <comment ref="M4" authorId="0" shapeId="0">
      <text>
        <t>自动= expertVerify÷collected</t>
      </text>
    </comment>
    <comment ref="N4" authorId="0" shapeId="0">
      <text>
        <t>❌ 当前缺失，审核打回条数</t>
      </text>
    </comment>
    <comment ref="O4" authorId="0" shapeId="0">
      <text>
        <t>❌ 当前缺失，打回后更正数</t>
      </text>
    </comment>
    <comment ref="P4" authorId="0" shapeId="0">
      <text>
        <t>自动= (collected−打回数)÷collected</t>
      </text>
    </comment>
    <comment ref="Q4" authorId="0" shapeId="0">
      <text>
        <t>质量不合格/延迟提交/缺少材料/其他</t>
      </text>
    </comment>
    <comment ref="R4" authorId="0" shapeId="0">
      <text>
        <t>是/进行中/关闭/暂未启动</t>
      </text>
    </comment>
    <comment ref="S4" authorId="0" shapeId="0">
      <text>
        <t>是/否</t>
      </text>
    </comment>
  </commentList>
</comments>
</file>

<file path=xl/comments/comment2.xml><?xml version="1.0" encoding="utf-8"?>
<comments xmlns="http://schemas.openxmlformats.org/spreadsheetml/2006/main">
  <authors>
    <author>系统</author>
  </authors>
  <commentList>
    <comment ref="A4" authorId="0" shapeId="0">
      <text>
        <t>1月/2月...</t>
      </text>
    </comment>
    <comment ref="B4" authorId="0" shapeId="0">
      <text>
        <t>市场价/信息价采集</t>
      </text>
    </comment>
    <comment ref="C4" authorId="0" shapeId="0">
      <text>
        <t>价格采集/更新/全系列报价单</t>
      </text>
    </comment>
    <comment ref="D4" authorId="0" shapeId="0">
      <text>
        <t>⚠️ 手工录入</t>
      </text>
    </comment>
    <comment ref="E4" authorId="0" shapeId="0">
      <text>
        <t>⚠️ 手工录入</t>
      </text>
    </comment>
    <comment ref="F4" authorId="0" shapeId="0">
      <text>
        <t>自动= D行×E行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30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0" customWidth="1" min="16" max="16"/>
    <col width="14" customWidth="1" min="17" max="17"/>
    <col width="12" customWidth="1" min="18" max="18"/>
    <col width="10" customWidth="1" min="19" max="19"/>
  </cols>
  <sheetData>
    <row r="1" ht="30" customHeight="1">
      <c r="A1" s="1" t="inlineStr">
        <is>
          <t>看板数据录入表 — 蓝色列=你要填的 ｜ 灰色列=看板自动算(不用填)</t>
        </is>
      </c>
    </row>
    <row r="2">
      <c r="A2" s="2" t="inlineStr">
        <is>
          <t>▎蓝色标题 = 手工录入  ▎灰色标题 = 自动计算(看板算好,不要填)  ▎橙色底色单元格 = 当前还没有这个数据(需补充)  ▎需求项筛选: D列下拉选「市场价/采购建议价」</t>
        </is>
      </c>
    </row>
    <row r="3">
      <c r="A3" s="3" t="inlineStr">
        <is>
          <t>📋 基本信息</t>
        </is>
      </c>
      <c r="B3" s="4" t="n"/>
      <c r="C3" s="4" t="n"/>
      <c r="D3" s="3" t="inlineStr">
        <is>
          <t>🔴 需求下发</t>
        </is>
      </c>
      <c r="E3" s="4" t="n"/>
      <c r="F3" s="4" t="n"/>
      <c r="G3" s="4" t="n"/>
      <c r="H3" s="3" t="inlineStr">
        <is>
          <t>🟠 采集执行</t>
        </is>
      </c>
      <c r="I3" s="4" t="n"/>
      <c r="J3" s="3" t="inlineStr">
        <is>
          <t>🟠 采集执行 (待补充)</t>
        </is>
      </c>
      <c r="K3" s="4" t="n"/>
      <c r="L3" s="3" t="inlineStr">
        <is>
          <t>🟠 采集执行 (待补充)</t>
        </is>
      </c>
      <c r="M3" s="4" t="n"/>
      <c r="N3" s="3" t="inlineStr">
        <is>
          <t>🟡 数据加工/审核</t>
        </is>
      </c>
      <c r="O3" s="4" t="n"/>
      <c r="P3" s="4" t="n"/>
      <c r="Q3" s="3" t="inlineStr">
        <is>
          <t>🟡 数据加工/审核</t>
        </is>
      </c>
      <c r="R3" s="3" t="inlineStr">
        <is>
          <t>🟢 上线发布 &amp; 闭环</t>
        </is>
      </c>
      <c r="S3" s="4" t="n"/>
    </row>
    <row r="4">
      <c r="A4" s="5" t="inlineStr">
        <is>
          <t>序号</t>
        </is>
      </c>
      <c r="B4" s="5" t="inlineStr">
        <is>
          <t>任务名称</t>
        </is>
      </c>
      <c r="C4" s="5" t="inlineStr">
        <is>
          <t>月份</t>
        </is>
      </c>
      <c r="D4" s="5" t="inlineStr">
        <is>
          <t>需求项</t>
        </is>
      </c>
      <c r="E4" s="5" t="inlineStr">
        <is>
          <t>结算类型</t>
        </is>
      </c>
      <c r="F4" s="5" t="inlineStr">
        <is>
          <t>数据来源</t>
        </is>
      </c>
      <c r="G4" s="5" t="inlineStr">
        <is>
          <t>需求量
demandQty</t>
        </is>
      </c>
      <c r="H4" s="5" t="inlineStr">
        <is>
          <t>采集完成数
collected</t>
        </is>
      </c>
      <c r="I4" s="6" t="inlineStr">
        <is>
          <t>采集完成率</t>
        </is>
      </c>
      <c r="J4" s="5" t="inlineStr">
        <is>
          <t>材料反馈数
feedbackMat ✏️</t>
        </is>
      </c>
      <c r="K4" s="6" t="inlineStr">
        <is>
          <t>材料反馈率</t>
        </is>
      </c>
      <c r="L4" s="5" t="inlineStr">
        <is>
          <t>专家核实通过数
expertVerify ✏️</t>
        </is>
      </c>
      <c r="M4" s="6" t="inlineStr">
        <is>
          <t>专家核实通过率</t>
        </is>
      </c>
      <c r="N4" s="5" t="inlineStr">
        <is>
          <t>打回数量
rejectCount ✏️</t>
        </is>
      </c>
      <c r="O4" s="5" t="inlineStr">
        <is>
          <t>自行更正数
selfCorrect ✏️</t>
        </is>
      </c>
      <c r="P4" s="6" t="inlineStr">
        <is>
          <t>需求准确率</t>
        </is>
      </c>
      <c r="Q4" s="5" t="inlineStr">
        <is>
          <t>打回根因</t>
        </is>
      </c>
      <c r="R4" s="5" t="inlineStr">
        <is>
          <t>闭环状态
closed</t>
        </is>
      </c>
      <c r="S4" s="5" t="inlineStr">
        <is>
          <t>全部闭环
allClosed</t>
        </is>
      </c>
    </row>
    <row r="5" ht="22" customHeight="1">
      <c r="A5" s="7" t="n">
        <v>1</v>
      </c>
      <c r="B5" s="7" t="inlineStr">
        <is>
          <t>四川比价</t>
        </is>
      </c>
      <c r="C5" s="7" t="inlineStr">
        <is>
          <t>03月</t>
        </is>
      </c>
      <c r="D5" s="7" t="inlineStr">
        <is>
          <t>市场价</t>
        </is>
      </c>
      <c r="E5" s="7" t="inlineStr">
        <is>
          <t>价格采集</t>
        </is>
      </c>
      <c r="F5" s="7" t="inlineStr">
        <is>
          <t>AI比价</t>
        </is>
      </c>
      <c r="G5" s="7" t="n">
        <v>5761</v>
      </c>
      <c r="H5" s="7" t="n">
        <v>3812</v>
      </c>
      <c r="I5" s="8" t="inlineStr">
        <is>
          <t>自动算出</t>
        </is>
      </c>
      <c r="J5" s="9" t="inlineStr">
        <is>
          <t>待补充</t>
        </is>
      </c>
      <c r="K5" s="8" t="inlineStr">
        <is>
          <t>自动算出</t>
        </is>
      </c>
      <c r="L5" s="9" t="inlineStr">
        <is>
          <t>待补充</t>
        </is>
      </c>
      <c r="M5" s="8" t="inlineStr">
        <is>
          <t>自动算出</t>
        </is>
      </c>
      <c r="N5" s="9" t="inlineStr">
        <is>
          <t>待补充</t>
        </is>
      </c>
      <c r="O5" s="9" t="inlineStr">
        <is>
          <t>待补充</t>
        </is>
      </c>
      <c r="P5" s="8" t="inlineStr">
        <is>
          <t>自动算出</t>
        </is>
      </c>
      <c r="Q5" s="9" t="inlineStr">
        <is>
          <t>待补充</t>
        </is>
      </c>
      <c r="R5" s="7" t="inlineStr"/>
      <c r="S5" s="7" t="inlineStr"/>
    </row>
    <row r="6" ht="22" customHeight="1">
      <c r="A6" s="7" t="n">
        <v>2</v>
      </c>
      <c r="B6" s="7" t="inlineStr">
        <is>
          <t>北京比价</t>
        </is>
      </c>
      <c r="C6" s="7" t="inlineStr">
        <is>
          <t>03月</t>
        </is>
      </c>
      <c r="D6" s="7" t="inlineStr">
        <is>
          <t>市场价</t>
        </is>
      </c>
      <c r="E6" s="7" t="inlineStr">
        <is>
          <t>价格采集</t>
        </is>
      </c>
      <c r="F6" s="7" t="inlineStr">
        <is>
          <t>AI比价</t>
        </is>
      </c>
      <c r="G6" s="7" t="n">
        <v>6642</v>
      </c>
      <c r="H6" s="7" t="n">
        <v>3637</v>
      </c>
      <c r="I6" s="8" t="inlineStr">
        <is>
          <t>自动算出</t>
        </is>
      </c>
      <c r="J6" s="9" t="inlineStr">
        <is>
          <t>待补充</t>
        </is>
      </c>
      <c r="K6" s="8" t="inlineStr">
        <is>
          <t>自动算出</t>
        </is>
      </c>
      <c r="L6" s="9" t="inlineStr">
        <is>
          <t>待补充</t>
        </is>
      </c>
      <c r="M6" s="8" t="inlineStr">
        <is>
          <t>自动算出</t>
        </is>
      </c>
      <c r="N6" s="9" t="inlineStr">
        <is>
          <t>待补充</t>
        </is>
      </c>
      <c r="O6" s="9" t="inlineStr">
        <is>
          <t>待补充</t>
        </is>
      </c>
      <c r="P6" s="8" t="inlineStr">
        <is>
          <t>自动算出</t>
        </is>
      </c>
      <c r="Q6" s="9" t="inlineStr">
        <is>
          <t>待补充</t>
        </is>
      </c>
      <c r="R6" s="7" t="inlineStr">
        <is>
          <t>是</t>
        </is>
      </c>
      <c r="S6" s="7" t="inlineStr"/>
    </row>
    <row r="7" ht="22" customHeight="1">
      <c r="A7" s="7" t="n">
        <v>3</v>
      </c>
      <c r="B7" s="7" t="inlineStr">
        <is>
          <t>河北比价</t>
        </is>
      </c>
      <c r="C7" s="7" t="inlineStr">
        <is>
          <t>03月</t>
        </is>
      </c>
      <c r="D7" s="7" t="inlineStr">
        <is>
          <t>市场价</t>
        </is>
      </c>
      <c r="E7" s="7" t="inlineStr">
        <is>
          <t>价格采集</t>
        </is>
      </c>
      <c r="F7" s="7" t="inlineStr">
        <is>
          <t>AI比价</t>
        </is>
      </c>
      <c r="G7" s="7" t="n">
        <v>3489</v>
      </c>
      <c r="H7" s="7" t="n">
        <v>3231</v>
      </c>
      <c r="I7" s="8" t="inlineStr">
        <is>
          <t>自动算出</t>
        </is>
      </c>
      <c r="J7" s="9" t="inlineStr">
        <is>
          <t>待补充</t>
        </is>
      </c>
      <c r="K7" s="8" t="inlineStr">
        <is>
          <t>自动算出</t>
        </is>
      </c>
      <c r="L7" s="9" t="inlineStr">
        <is>
          <t>待补充</t>
        </is>
      </c>
      <c r="M7" s="8" t="inlineStr">
        <is>
          <t>自动算出</t>
        </is>
      </c>
      <c r="N7" s="9" t="inlineStr">
        <is>
          <t>待补充</t>
        </is>
      </c>
      <c r="O7" s="9" t="inlineStr">
        <is>
          <t>待补充</t>
        </is>
      </c>
      <c r="P7" s="8" t="inlineStr">
        <is>
          <t>自动算出</t>
        </is>
      </c>
      <c r="Q7" s="9" t="inlineStr">
        <is>
          <t>待补充</t>
        </is>
      </c>
      <c r="R7" s="7" t="inlineStr">
        <is>
          <t>是</t>
        </is>
      </c>
      <c r="S7" s="7" t="inlineStr"/>
    </row>
    <row r="8" ht="22" customHeight="1">
      <c r="A8" s="7" t="n">
        <v>4</v>
      </c>
      <c r="B8" s="7" t="inlineStr">
        <is>
          <t>山东&amp;上海</t>
        </is>
      </c>
      <c r="C8" s="7" t="inlineStr">
        <is>
          <t>03月</t>
        </is>
      </c>
      <c r="D8" s="7" t="inlineStr">
        <is>
          <t>采购建议价</t>
        </is>
      </c>
      <c r="E8" s="7" t="inlineStr">
        <is>
          <t>价格采集</t>
        </is>
      </c>
      <c r="F8" s="7" t="inlineStr"/>
      <c r="G8" s="7" t="n">
        <v>85</v>
      </c>
      <c r="H8" s="7" t="n">
        <v>85</v>
      </c>
      <c r="I8" s="8" t="inlineStr">
        <is>
          <t>自动算出</t>
        </is>
      </c>
      <c r="J8" s="9" t="inlineStr">
        <is>
          <t>待补充</t>
        </is>
      </c>
      <c r="K8" s="8" t="inlineStr">
        <is>
          <t>自动算出</t>
        </is>
      </c>
      <c r="L8" s="9" t="inlineStr">
        <is>
          <t>待补充</t>
        </is>
      </c>
      <c r="M8" s="8" t="inlineStr">
        <is>
          <t>自动算出</t>
        </is>
      </c>
      <c r="N8" s="9" t="inlineStr">
        <is>
          <t>待补充</t>
        </is>
      </c>
      <c r="O8" s="9" t="inlineStr">
        <is>
          <t>待补充</t>
        </is>
      </c>
      <c r="P8" s="8" t="inlineStr">
        <is>
          <t>自动算出</t>
        </is>
      </c>
      <c r="Q8" s="9" t="inlineStr">
        <is>
          <t>待补充</t>
        </is>
      </c>
      <c r="R8" s="7" t="inlineStr">
        <is>
          <t>是</t>
        </is>
      </c>
      <c r="S8" s="7" t="inlineStr"/>
    </row>
    <row r="9" ht="22" customHeight="1">
      <c r="A9" s="7" t="n">
        <v>5</v>
      </c>
      <c r="B9" s="7" t="inlineStr">
        <is>
          <t>北京试点</t>
        </is>
      </c>
      <c r="C9" s="7" t="inlineStr">
        <is>
          <t>04月</t>
        </is>
      </c>
      <c r="D9" s="7" t="inlineStr">
        <is>
          <t>市场价</t>
        </is>
      </c>
      <c r="E9" s="7" t="inlineStr">
        <is>
          <t>价格采集</t>
        </is>
      </c>
      <c r="F9" s="7" t="inlineStr">
        <is>
          <t>AI比价</t>
        </is>
      </c>
      <c r="G9" s="7" t="n">
        <v>606</v>
      </c>
      <c r="H9" s="7" t="n">
        <v>591</v>
      </c>
      <c r="I9" s="8" t="inlineStr">
        <is>
          <t>自动算出</t>
        </is>
      </c>
      <c r="J9" s="9" t="inlineStr">
        <is>
          <t>待补充</t>
        </is>
      </c>
      <c r="K9" s="8" t="inlineStr">
        <is>
          <t>自动算出</t>
        </is>
      </c>
      <c r="L9" s="9" t="inlineStr">
        <is>
          <t>待补充</t>
        </is>
      </c>
      <c r="M9" s="8" t="inlineStr">
        <is>
          <t>自动算出</t>
        </is>
      </c>
      <c r="N9" s="9" t="inlineStr">
        <is>
          <t>待补充</t>
        </is>
      </c>
      <c r="O9" s="9" t="inlineStr">
        <is>
          <t>待补充</t>
        </is>
      </c>
      <c r="P9" s="8" t="inlineStr">
        <is>
          <t>自动算出</t>
        </is>
      </c>
      <c r="Q9" s="9" t="inlineStr">
        <is>
          <t>待补充</t>
        </is>
      </c>
      <c r="R9" s="7" t="inlineStr">
        <is>
          <t>进行中</t>
        </is>
      </c>
      <c r="S9" s="7" t="inlineStr"/>
    </row>
    <row r="10" ht="22" customHeight="1">
      <c r="A10" s="7" t="n">
        <v>6</v>
      </c>
      <c r="B10" s="7" t="inlineStr">
        <is>
          <t>海南更新</t>
        </is>
      </c>
      <c r="C10" s="7" t="inlineStr">
        <is>
          <t>04月</t>
        </is>
      </c>
      <c r="D10" s="7" t="inlineStr">
        <is>
          <t>市场价</t>
        </is>
      </c>
      <c r="E10" s="7" t="inlineStr">
        <is>
          <t>价格更新</t>
        </is>
      </c>
      <c r="F10" s="7" t="inlineStr">
        <is>
          <t>更新</t>
        </is>
      </c>
      <c r="G10" s="7" t="n">
        <v>13716</v>
      </c>
      <c r="H10" s="7" t="n">
        <v>13716</v>
      </c>
      <c r="I10" s="8" t="inlineStr">
        <is>
          <t>自动算出</t>
        </is>
      </c>
      <c r="J10" s="9" t="inlineStr">
        <is>
          <t>待补充</t>
        </is>
      </c>
      <c r="K10" s="8" t="inlineStr">
        <is>
          <t>自动算出</t>
        </is>
      </c>
      <c r="L10" s="9" t="inlineStr">
        <is>
          <t>待补充</t>
        </is>
      </c>
      <c r="M10" s="8" t="inlineStr">
        <is>
          <t>自动算出</t>
        </is>
      </c>
      <c r="N10" s="9" t="inlineStr">
        <is>
          <t>待补充</t>
        </is>
      </c>
      <c r="O10" s="9" t="inlineStr">
        <is>
          <t>待补充</t>
        </is>
      </c>
      <c r="P10" s="8" t="inlineStr">
        <is>
          <t>自动算出</t>
        </is>
      </c>
      <c r="Q10" s="9" t="inlineStr">
        <is>
          <t>待补充</t>
        </is>
      </c>
      <c r="R10" s="7" t="inlineStr">
        <is>
          <t>是</t>
        </is>
      </c>
      <c r="S10" s="7" t="inlineStr">
        <is>
          <t>是</t>
        </is>
      </c>
    </row>
    <row r="11" ht="22" customHeight="1">
      <c r="A11" s="7" t="n">
        <v>7</v>
      </c>
      <c r="B11" s="7" t="inlineStr">
        <is>
          <t>1:3聚合</t>
        </is>
      </c>
      <c r="C11" s="7" t="inlineStr">
        <is>
          <t>04月</t>
        </is>
      </c>
      <c r="D11" s="7" t="inlineStr">
        <is>
          <t>市场价</t>
        </is>
      </c>
      <c r="E11" s="7" t="inlineStr">
        <is>
          <t>价格采集</t>
        </is>
      </c>
      <c r="F11" s="7" t="inlineStr">
        <is>
          <t>聚合1:3</t>
        </is>
      </c>
      <c r="G11" s="7" t="n">
        <v>19910</v>
      </c>
      <c r="H11" s="7" t="n">
        <v>9739</v>
      </c>
      <c r="I11" s="8" t="inlineStr">
        <is>
          <t>自动算出</t>
        </is>
      </c>
      <c r="J11" s="9" t="inlineStr">
        <is>
          <t>待补充</t>
        </is>
      </c>
      <c r="K11" s="8" t="inlineStr">
        <is>
          <t>自动算出</t>
        </is>
      </c>
      <c r="L11" s="9" t="inlineStr">
        <is>
          <t>待补充</t>
        </is>
      </c>
      <c r="M11" s="8" t="inlineStr">
        <is>
          <t>自动算出</t>
        </is>
      </c>
      <c r="N11" s="9" t="inlineStr">
        <is>
          <t>待补充</t>
        </is>
      </c>
      <c r="O11" s="9" t="inlineStr">
        <is>
          <t>待补充</t>
        </is>
      </c>
      <c r="P11" s="8" t="inlineStr">
        <is>
          <t>自动算出</t>
        </is>
      </c>
      <c r="Q11" s="9" t="inlineStr">
        <is>
          <t>待补充</t>
        </is>
      </c>
      <c r="R11" s="7" t="inlineStr">
        <is>
          <t>进行中</t>
        </is>
      </c>
      <c r="S11" s="7" t="inlineStr"/>
    </row>
    <row r="12" ht="22" customHeight="1">
      <c r="A12" s="7" t="n">
        <v>8</v>
      </c>
      <c r="B12" s="7" t="inlineStr">
        <is>
          <t>山东比价</t>
        </is>
      </c>
      <c r="C12" s="7" t="inlineStr">
        <is>
          <t>06月</t>
        </is>
      </c>
      <c r="D12" s="7" t="inlineStr">
        <is>
          <t>市场价</t>
        </is>
      </c>
      <c r="E12" s="7" t="inlineStr">
        <is>
          <t>价格采集</t>
        </is>
      </c>
      <c r="F12" s="7" t="inlineStr">
        <is>
          <t>AI比价</t>
        </is>
      </c>
      <c r="G12" s="7" t="n">
        <v>14100</v>
      </c>
      <c r="H12" s="7" t="n">
        <v>0</v>
      </c>
      <c r="I12" s="8" t="inlineStr">
        <is>
          <t>自动算出</t>
        </is>
      </c>
      <c r="J12" s="9" t="inlineStr">
        <is>
          <t>待补充</t>
        </is>
      </c>
      <c r="K12" s="8" t="inlineStr">
        <is>
          <t>自动算出</t>
        </is>
      </c>
      <c r="L12" s="9" t="inlineStr">
        <is>
          <t>待补充</t>
        </is>
      </c>
      <c r="M12" s="8" t="inlineStr">
        <is>
          <t>自动算出</t>
        </is>
      </c>
      <c r="N12" s="9" t="inlineStr">
        <is>
          <t>待补充</t>
        </is>
      </c>
      <c r="O12" s="9" t="inlineStr">
        <is>
          <t>待补充</t>
        </is>
      </c>
      <c r="P12" s="8" t="inlineStr">
        <is>
          <t>自动算出</t>
        </is>
      </c>
      <c r="Q12" s="9" t="inlineStr">
        <is>
          <t>待补充</t>
        </is>
      </c>
      <c r="R12" s="7" t="inlineStr"/>
      <c r="S12" s="7" t="inlineStr"/>
    </row>
    <row r="15">
      <c r="A15" s="10" t="inlineStr">
        <is>
          <t>⬇ 看板自动计算公式一览 (灰色列对应的KPI)</t>
        </is>
      </c>
    </row>
    <row r="16">
      <c r="A16" s="11" t="inlineStr">
        <is>
          <t>KPI指标</t>
        </is>
      </c>
      <c r="B16" s="11" t="inlineStr">
        <is>
          <t>自动计算公式</t>
        </is>
      </c>
      <c r="C16" s="11" t="inlineStr">
        <is>
          <t>依赖你填的字段</t>
        </is>
      </c>
    </row>
    <row r="17">
      <c r="A17" s="12" t="inlineStr">
        <is>
          <t>采集完成率</t>
        </is>
      </c>
      <c r="B17" s="13">
        <f> 采集完成数 ÷ 需求量 × 100%</f>
        <v/>
      </c>
      <c r="C17" s="13" t="inlineStr">
        <is>
          <t>需求量, 采集完成数</t>
        </is>
      </c>
    </row>
    <row r="18">
      <c r="A18" s="12" t="inlineStr">
        <is>
          <t>材料反馈率</t>
        </is>
      </c>
      <c r="B18" s="13">
        <f> 材料反馈数 ÷ 采集完成数 × 100%</f>
        <v/>
      </c>
      <c r="C18" s="13" t="inlineStr">
        <is>
          <t>材料反馈数, 采集完成数</t>
        </is>
      </c>
    </row>
    <row r="19">
      <c r="A19" s="12" t="inlineStr">
        <is>
          <t>专家核实通过率</t>
        </is>
      </c>
      <c r="B19" s="13">
        <f> 专家核实通过数 ÷ 采集完成数 × 100%</f>
        <v/>
      </c>
      <c r="C19" s="13" t="inlineStr">
        <is>
          <t>专家核实通过数, 采集完成数</t>
        </is>
      </c>
    </row>
    <row r="20">
      <c r="A20" s="12" t="inlineStr">
        <is>
          <t>需求准确率</t>
        </is>
      </c>
      <c r="B20" s="13">
        <f> (采集完成数 − 打回数量) ÷ 采集完成数 × 100%</f>
        <v/>
      </c>
      <c r="C20" s="13" t="inlineStr">
        <is>
          <t>采集完成数, 打回数量</t>
        </is>
      </c>
    </row>
    <row r="21">
      <c r="A21" s="12" t="inlineStr">
        <is>
          <t>打回率</t>
        </is>
      </c>
      <c r="B21" s="13">
        <f> 打回数量 ÷ 采集完成数 × 100%</f>
        <v/>
      </c>
      <c r="C21" s="13" t="inlineStr">
        <is>
          <t>打回数量, 采集完成数</t>
        </is>
      </c>
    </row>
    <row r="22">
      <c r="A22" s="12" t="inlineStr">
        <is>
          <t>闭环率</t>
        </is>
      </c>
      <c r="B22" s="13">
        <f> 闭环状态='是' 的任务数 ÷ 总任务数 × 100%</f>
        <v/>
      </c>
      <c r="C22" s="13" t="inlineStr">
        <is>
          <t>闭环状态</t>
        </is>
      </c>
    </row>
    <row r="23">
      <c r="A23" s="12" t="inlineStr">
        <is>
          <t>全部闭环率</t>
        </is>
      </c>
      <c r="B23" s="13">
        <f> 全部闭环='是' 的任务数 ÷ 总任务数 × 100%</f>
        <v/>
      </c>
      <c r="C23" s="13" t="inlineStr">
        <is>
          <t>全部闭环</t>
        </is>
      </c>
    </row>
    <row r="24">
      <c r="A24" s="12" t="inlineStr">
        <is>
          <t>需求发布及时率</t>
        </is>
      </c>
      <c r="B24" s="13">
        <f> 下发日期不超标的任务数 ÷ 总任务数 × 100%</f>
        <v/>
      </c>
      <c r="C24" s="13" t="inlineStr">
        <is>
          <t>下发日期(待补充)</t>
        </is>
      </c>
    </row>
    <row r="25">
      <c r="A25" s="12" t="inlineStr">
        <is>
          <t>问题率</t>
        </is>
      </c>
      <c r="B25" s="13">
        <f> 打回根因不为空的任务数 ÷ 总任务数 × 100%</f>
        <v/>
      </c>
      <c r="C25" s="13" t="inlineStr">
        <is>
          <t>打回根因</t>
        </is>
      </c>
    </row>
  </sheetData>
  <mergeCells count="10">
    <mergeCell ref="L3:M3"/>
    <mergeCell ref="J3:K3"/>
    <mergeCell ref="D3:G3"/>
    <mergeCell ref="A1:P1"/>
    <mergeCell ref="A2:P2"/>
    <mergeCell ref="A3:C3"/>
    <mergeCell ref="R3:S3"/>
    <mergeCell ref="N3:P3"/>
    <mergeCell ref="A15:S15"/>
    <mergeCell ref="H3:I3"/>
  </mergeCells>
  <dataValidations count="7">
    <dataValidation sqref="C5:C104" showDropDown="0" showInputMessage="0" showErrorMessage="0" allowBlank="1" type="list">
      <formula1>"03月,04月,05月,06月,07月,08月,09月,10月,11月,12月,01月,02月"</formula1>
    </dataValidation>
    <dataValidation sqref="D5:D104" showDropDown="0" showInputMessage="0" showErrorMessage="0" allowBlank="1" type="list">
      <formula1>"市场价,采购建议价"</formula1>
    </dataValidation>
    <dataValidation sqref="E5:E104" showDropDown="0" showInputMessage="0" showErrorMessage="0" allowBlank="1" type="list">
      <formula1>"价格采集,价格更新,全系列报价单,聚合比价"</formula1>
    </dataValidation>
    <dataValidation sqref="F5:F104" showDropDown="0" showInputMessage="0" showErrorMessage="0" allowBlank="1" type="list">
      <formula1>"AI比价,更新,聚合1:3,地区特性,市场部,其他"</formula1>
    </dataValidation>
    <dataValidation sqref="R5:R104" showDropDown="0" showInputMessage="0" showErrorMessage="0" allowBlank="1" type="list">
      <formula1>"是,进行中,关闭,暂未启动"</formula1>
    </dataValidation>
    <dataValidation sqref="S5:S104" showDropDown="0" showInputMessage="0" showErrorMessage="0" allowBlank="1" type="list">
      <formula1>"是,否"</formula1>
    </dataValidation>
    <dataValidation sqref="Q5:Q104" showDropDown="0" showInputMessage="0" showErrorMessage="0" allowBlank="1" type="list">
      <formula1>"质量不合格,延迟提交,缺少材料,其他"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</cols>
  <sheetData>
    <row r="1" ht="28" customHeight="1">
      <c r="A1" s="14" t="inlineStr">
        <is>
          <t>结算明细 — 蓝色=手工录入  灰色=自动计算(金额=数量×单价)</t>
        </is>
      </c>
    </row>
    <row r="3">
      <c r="A3" s="3" t="inlineStr">
        <is>
          <t>月份</t>
        </is>
      </c>
      <c r="B3" s="3" t="inlineStr">
        <is>
          <t>产品模块</t>
        </is>
      </c>
      <c r="C3" s="3" t="inlineStr">
        <is>
          <t>需求类型</t>
        </is>
      </c>
      <c r="D3" s="3" t="inlineStr">
        <is>
          <t>数量</t>
        </is>
      </c>
      <c r="E3" s="3" t="inlineStr">
        <is>
          <t>单价</t>
        </is>
      </c>
      <c r="F3" s="11" t="inlineStr">
        <is>
          <t>金额(自动)</t>
        </is>
      </c>
    </row>
    <row r="4">
      <c r="A4" s="5" t="inlineStr">
        <is>
          <t>月份</t>
        </is>
      </c>
      <c r="B4" s="5" t="inlineStr">
        <is>
          <t>产品模块</t>
        </is>
      </c>
      <c r="C4" s="5" t="inlineStr">
        <is>
          <t>需求类型</t>
        </is>
      </c>
      <c r="D4" s="5" t="inlineStr">
        <is>
          <t>需求数量</t>
        </is>
      </c>
      <c r="E4" s="5" t="inlineStr">
        <is>
          <t>结算单价(元)</t>
        </is>
      </c>
      <c r="F4" s="6" t="inlineStr">
        <is>
          <t>结算金额(元) ⚙️</t>
        </is>
      </c>
    </row>
    <row r="5">
      <c r="A5" s="7" t="inlineStr">
        <is>
          <t>1月</t>
        </is>
      </c>
      <c r="B5" s="7" t="inlineStr">
        <is>
          <t>市场价</t>
        </is>
      </c>
      <c r="C5" s="7" t="inlineStr">
        <is>
          <t>价格采集</t>
        </is>
      </c>
      <c r="D5" s="7" t="n">
        <v>3821</v>
      </c>
      <c r="E5" s="7" t="n">
        <v>5</v>
      </c>
      <c r="F5" s="8" t="inlineStr">
        <is>
          <t>自动计算</t>
        </is>
      </c>
    </row>
    <row r="6">
      <c r="A6" s="7" t="inlineStr">
        <is>
          <t>1月</t>
        </is>
      </c>
      <c r="B6" s="7" t="inlineStr">
        <is>
          <t>市场价</t>
        </is>
      </c>
      <c r="C6" s="7" t="inlineStr">
        <is>
          <t>价格更新</t>
        </is>
      </c>
      <c r="D6" s="7" t="n">
        <v>289</v>
      </c>
      <c r="E6" s="7" t="n">
        <v>2.3</v>
      </c>
      <c r="F6" s="8" t="inlineStr">
        <is>
          <t>自动计算</t>
        </is>
      </c>
    </row>
    <row r="7">
      <c r="A7" s="7" t="inlineStr">
        <is>
          <t>1月</t>
        </is>
      </c>
      <c r="B7" s="7" t="inlineStr">
        <is>
          <t>市场价</t>
        </is>
      </c>
      <c r="C7" s="7" t="inlineStr">
        <is>
          <t>全系列报价单</t>
        </is>
      </c>
      <c r="D7" s="7" t="n">
        <v>460</v>
      </c>
      <c r="E7" s="7" t="n">
        <v>150</v>
      </c>
      <c r="F7" s="8" t="inlineStr">
        <is>
          <t>自动计算</t>
        </is>
      </c>
    </row>
    <row r="8">
      <c r="A8" s="7" t="inlineStr">
        <is>
          <t>1月</t>
        </is>
      </c>
      <c r="B8" s="7" t="inlineStr">
        <is>
          <t>信息价采集</t>
        </is>
      </c>
      <c r="C8" s="7" t="inlineStr">
        <is>
          <t>价格采集</t>
        </is>
      </c>
      <c r="D8" s="7" t="n">
        <v>3576</v>
      </c>
      <c r="E8" s="7" t="n">
        <v>2.3</v>
      </c>
      <c r="F8" s="8" t="inlineStr">
        <is>
          <t>自动计算</t>
        </is>
      </c>
    </row>
    <row r="9">
      <c r="A9" s="7" t="inlineStr">
        <is>
          <t>2月</t>
        </is>
      </c>
      <c r="B9" s="7" t="inlineStr">
        <is>
          <t>市场价</t>
        </is>
      </c>
      <c r="C9" s="7" t="inlineStr">
        <is>
          <t>价格采集</t>
        </is>
      </c>
      <c r="D9" s="7" t="n">
        <v>17279</v>
      </c>
      <c r="E9" s="7" t="n">
        <v>5</v>
      </c>
      <c r="F9" s="8" t="inlineStr">
        <is>
          <t>自动计算</t>
        </is>
      </c>
    </row>
    <row r="10">
      <c r="A10" s="7" t="inlineStr">
        <is>
          <t>2月</t>
        </is>
      </c>
      <c r="B10" s="7" t="inlineStr">
        <is>
          <t>市场价</t>
        </is>
      </c>
      <c r="C10" s="7" t="inlineStr">
        <is>
          <t>价格更新</t>
        </is>
      </c>
      <c r="D10" s="7" t="n">
        <v>11807</v>
      </c>
      <c r="E10" s="7" t="n">
        <v>2.3</v>
      </c>
      <c r="F10" s="8" t="inlineStr">
        <is>
          <t>自动计算</t>
        </is>
      </c>
    </row>
    <row r="11">
      <c r="A11" s="7" t="inlineStr">
        <is>
          <t>2月</t>
        </is>
      </c>
      <c r="B11" s="7" t="inlineStr">
        <is>
          <t>市场价</t>
        </is>
      </c>
      <c r="C11" s="7" t="inlineStr">
        <is>
          <t>全系列报价单</t>
        </is>
      </c>
      <c r="D11" s="7" t="n">
        <v>2</v>
      </c>
      <c r="E11" s="7" t="n">
        <v>150</v>
      </c>
      <c r="F11" s="8" t="inlineStr">
        <is>
          <t>自动计算</t>
        </is>
      </c>
    </row>
    <row r="12">
      <c r="A12" s="7" t="inlineStr">
        <is>
          <t>2月</t>
        </is>
      </c>
      <c r="B12" s="7" t="inlineStr">
        <is>
          <t>信息价采集</t>
        </is>
      </c>
      <c r="C12" s="7" t="inlineStr">
        <is>
          <t>价格采集</t>
        </is>
      </c>
      <c r="D12" s="7" t="n">
        <v>390</v>
      </c>
      <c r="E12" s="7" t="n">
        <v>2.3</v>
      </c>
      <c r="F12" s="8" t="inlineStr">
        <is>
          <t>自动计算</t>
        </is>
      </c>
    </row>
    <row r="13">
      <c r="A13" s="7" t="inlineStr">
        <is>
          <t>3月</t>
        </is>
      </c>
      <c r="B13" s="7" t="inlineStr">
        <is>
          <t>市场价</t>
        </is>
      </c>
      <c r="C13" s="7" t="inlineStr">
        <is>
          <t>价格采集</t>
        </is>
      </c>
      <c r="D13" s="7" t="n">
        <v>25896</v>
      </c>
      <c r="E13" s="7" t="n">
        <v>5</v>
      </c>
      <c r="F13" s="8" t="inlineStr">
        <is>
          <t>自动计算</t>
        </is>
      </c>
    </row>
    <row r="14">
      <c r="A14" s="7" t="inlineStr">
        <is>
          <t>3月</t>
        </is>
      </c>
      <c r="B14" s="7" t="inlineStr">
        <is>
          <t>市场价</t>
        </is>
      </c>
      <c r="C14" s="7" t="inlineStr">
        <is>
          <t>价格更新</t>
        </is>
      </c>
      <c r="D14" s="7" t="n">
        <v>35</v>
      </c>
      <c r="E14" s="7" t="n">
        <v>2.3</v>
      </c>
      <c r="F14" s="8" t="inlineStr">
        <is>
          <t>自动计算</t>
        </is>
      </c>
    </row>
    <row r="15">
      <c r="A15" s="7" t="inlineStr">
        <is>
          <t>3月</t>
        </is>
      </c>
      <c r="B15" s="7" t="inlineStr">
        <is>
          <t>市场价</t>
        </is>
      </c>
      <c r="C15" s="7" t="inlineStr">
        <is>
          <t>全系列报价单</t>
        </is>
      </c>
      <c r="D15" s="7" t="n">
        <v>5</v>
      </c>
      <c r="E15" s="7" t="n">
        <v>150</v>
      </c>
      <c r="F15" s="8" t="inlineStr">
        <is>
          <t>自动计算</t>
        </is>
      </c>
    </row>
    <row r="16">
      <c r="A16" s="7" t="inlineStr">
        <is>
          <t>3月</t>
        </is>
      </c>
      <c r="B16" s="7" t="inlineStr">
        <is>
          <t>信息价采集</t>
        </is>
      </c>
      <c r="C16" s="7" t="inlineStr">
        <is>
          <t>价格采集</t>
        </is>
      </c>
      <c r="D16" s="7" t="n">
        <v>2635</v>
      </c>
      <c r="E16" s="7" t="n">
        <v>2.3</v>
      </c>
      <c r="F16" s="8" t="inlineStr">
        <is>
          <t>自动计算</t>
        </is>
      </c>
    </row>
  </sheetData>
  <mergeCells count="1">
    <mergeCell ref="A1:F1"/>
  </mergeCells>
  <dataValidations count="3">
    <dataValidation sqref="A5:A104" showDropDown="0" showInputMessage="0" showErrorMessage="0" allowBlank="1" type="list">
      <formula1>"1月,2月,3月,4月,5月,6月,7月,8月,9月,10月,11月,12月"</formula1>
    </dataValidation>
    <dataValidation sqref="B5:B104" showDropDown="0" showInputMessage="0" showErrorMessage="0" allowBlank="1" type="list">
      <formula1>"市场价,信息价采集,采购建议价"</formula1>
    </dataValidation>
    <dataValidation sqref="C5:C104" showDropDown="0" showInputMessage="0" showErrorMessage="0" allowBlank="1" type="list">
      <formula1>"价格采集,价格更新,全系列报价单"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14" t="inlineStr">
        <is>
          <t>月度趋势 — 看板图表用，按月填汇总指标</t>
        </is>
      </c>
    </row>
    <row r="2">
      <c r="A2" s="15" t="inlineStr">
        <is>
          <t>绿色=可从主表自动汇总(建议手动复核)  蓝色=需从财务/外部导入</t>
        </is>
      </c>
    </row>
    <row r="3">
      <c r="A3" s="5" t="inlineStr">
        <is>
          <t>月份</t>
        </is>
      </c>
      <c r="B3" s="16" t="inlineStr">
        <is>
          <t>需求发布及时率</t>
        </is>
      </c>
      <c r="C3" s="16" t="inlineStr">
        <is>
          <t>需求量</t>
        </is>
      </c>
      <c r="D3" s="16" t="inlineStr">
        <is>
          <t>采集完成率</t>
        </is>
      </c>
      <c r="E3" s="16" t="inlineStr">
        <is>
          <t>采集完成数</t>
        </is>
      </c>
      <c r="F3" s="5" t="inlineStr">
        <is>
          <t>预算执行率</t>
        </is>
      </c>
      <c r="G3" s="16" t="inlineStr">
        <is>
          <t>需求准确率</t>
        </is>
      </c>
      <c r="H3" s="5" t="inlineStr">
        <is>
          <t>需求初审通过率</t>
        </is>
      </c>
      <c r="I3" s="5" t="inlineStr">
        <is>
          <t>需求问题率</t>
        </is>
      </c>
      <c r="J3" s="16" t="inlineStr">
        <is>
          <t>闭环率</t>
        </is>
      </c>
      <c r="K3" s="5" t="inlineStr">
        <is>
          <t>产能利用率</t>
        </is>
      </c>
      <c r="L3" s="16" t="inlineStr">
        <is>
          <t>上线及时率</t>
        </is>
      </c>
      <c r="M3" s="16" t="inlineStr">
        <is>
          <t>打回率</t>
        </is>
      </c>
      <c r="N3" s="5" t="inlineStr">
        <is>
          <t>成本执行率</t>
        </is>
      </c>
    </row>
    <row r="4" ht="22" customHeight="1">
      <c r="A4" s="7" t="inlineStr">
        <is>
          <t>03月</t>
        </is>
      </c>
      <c r="B4" s="17" t="n">
        <v>25</v>
      </c>
      <c r="C4" s="17" t="n">
        <v>15977</v>
      </c>
      <c r="D4" s="17" t="n">
        <v>78.5</v>
      </c>
      <c r="E4" s="17" t="n">
        <v>10765</v>
      </c>
      <c r="F4" s="7" t="n">
        <v>8.6</v>
      </c>
      <c r="G4" s="17" t="n">
        <v>94.40000000000001</v>
      </c>
      <c r="H4" s="7" t="n">
        <v>92.8</v>
      </c>
      <c r="I4" s="7" t="n">
        <v>7.2</v>
      </c>
      <c r="J4" s="17" t="n">
        <v>100</v>
      </c>
      <c r="K4" s="7" t="n">
        <v>67.3</v>
      </c>
      <c r="L4" s="17" t="n">
        <v>25</v>
      </c>
      <c r="M4" s="17" t="n">
        <v>5.6</v>
      </c>
      <c r="N4" s="7" t="n">
        <v>8.6</v>
      </c>
    </row>
    <row r="5" ht="22" customHeight="1">
      <c r="A5" s="7" t="inlineStr">
        <is>
          <t>04月</t>
        </is>
      </c>
      <c r="B5" s="17" t="n">
        <v>60</v>
      </c>
      <c r="C5" s="17" t="n">
        <v>53581</v>
      </c>
      <c r="D5" s="17" t="n">
        <v>71.59999999999999</v>
      </c>
      <c r="E5" s="17" t="n">
        <v>42484</v>
      </c>
      <c r="F5" s="7" t="n">
        <v>14.5</v>
      </c>
      <c r="G5" s="17" t="n">
        <v>0</v>
      </c>
      <c r="H5" s="7" t="n">
        <v>90</v>
      </c>
      <c r="I5" s="7" t="n">
        <v>10</v>
      </c>
      <c r="J5" s="17" t="n">
        <v>22.2</v>
      </c>
      <c r="K5" s="7" t="n">
        <v>79.3</v>
      </c>
      <c r="L5" s="17" t="n">
        <v>60</v>
      </c>
      <c r="M5" s="17" t="n">
        <v>10</v>
      </c>
      <c r="N5" s="7" t="n">
        <v>14.5</v>
      </c>
    </row>
    <row r="6" ht="22" customHeight="1">
      <c r="A6" s="7" t="inlineStr">
        <is>
          <t>05月</t>
        </is>
      </c>
      <c r="B6" s="17" t="n">
        <v>100</v>
      </c>
      <c r="C6" s="17" t="n">
        <v>2277</v>
      </c>
      <c r="D6" s="17" t="n">
        <v>100</v>
      </c>
      <c r="E6" s="17" t="n">
        <v>2355</v>
      </c>
      <c r="F6" s="7" t="n">
        <v>18.2</v>
      </c>
      <c r="G6" s="17" t="n">
        <v>0</v>
      </c>
      <c r="H6" s="7" t="n">
        <v>97</v>
      </c>
      <c r="I6" s="7" t="n">
        <v>3</v>
      </c>
      <c r="J6" s="17" t="n">
        <v>0</v>
      </c>
      <c r="K6" s="7" t="n">
        <v>100</v>
      </c>
      <c r="L6" s="17" t="n">
        <v>100</v>
      </c>
      <c r="M6" s="17" t="n">
        <v>3</v>
      </c>
      <c r="N6" s="7" t="n">
        <v>18.2</v>
      </c>
    </row>
    <row r="7" ht="22" customHeight="1">
      <c r="A7" s="7" t="inlineStr">
        <is>
          <t>06月</t>
        </is>
      </c>
      <c r="B7" s="17" t="n">
        <v>100</v>
      </c>
      <c r="C7" s="17" t="n">
        <v>38906</v>
      </c>
      <c r="D7" s="17" t="n">
        <v>0</v>
      </c>
      <c r="E7" s="17" t="n">
        <v>0</v>
      </c>
      <c r="F7" s="7" t="n">
        <v>20.8</v>
      </c>
      <c r="G7" s="17" t="n">
        <v>0</v>
      </c>
      <c r="H7" s="7" t="n">
        <v>99.40000000000001</v>
      </c>
      <c r="I7" s="7" t="n">
        <v>0.6</v>
      </c>
      <c r="J7" s="17" t="n">
        <v>0</v>
      </c>
      <c r="K7" s="7" t="n">
        <v>0</v>
      </c>
      <c r="L7" s="17" t="n">
        <v>100</v>
      </c>
      <c r="M7" s="17" t="n">
        <v>0.6</v>
      </c>
      <c r="N7" s="7" t="n">
        <v>20.8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4" t="inlineStr">
        <is>
          <t>市场价 vs 采购建议价 — 数据覆盖检查</t>
        </is>
      </c>
    </row>
    <row r="3">
      <c r="A3" s="18" t="inlineStr">
        <is>
          <t>需求项</t>
        </is>
      </c>
      <c r="B3" s="18" t="inlineStr">
        <is>
          <t>任务数</t>
        </is>
      </c>
      <c r="C3" s="18" t="inlineStr">
        <is>
          <t>总需求量</t>
        </is>
      </c>
      <c r="D3" s="18" t="inlineStr">
        <is>
          <t>总采集数</t>
        </is>
      </c>
      <c r="E3" s="18" t="inlineStr">
        <is>
          <t>平均完成率</t>
        </is>
      </c>
      <c r="F3" s="18" t="inlineStr">
        <is>
          <t>及时率</t>
        </is>
      </c>
      <c r="G3" s="18" t="inlineStr">
        <is>
          <t>通过率</t>
        </is>
      </c>
      <c r="H3" s="18" t="inlineStr">
        <is>
          <t>问题率</t>
        </is>
      </c>
      <c r="I3" s="18" t="inlineStr">
        <is>
          <t>闭环率</t>
        </is>
      </c>
      <c r="J3" s="18" t="inlineStr">
        <is>
          <t>覆盖月份</t>
        </is>
      </c>
    </row>
    <row r="4">
      <c r="A4" s="7" t="inlineStr">
        <is>
          <t>市场价</t>
        </is>
      </c>
      <c r="B4" s="7" t="n">
        <v>21</v>
      </c>
      <c r="C4" s="7" t="n">
        <v>110370</v>
      </c>
      <c r="D4" s="7" t="n">
        <v>55519</v>
      </c>
      <c r="E4" s="7" t="inlineStr">
        <is>
          <t>53.4%</t>
        </is>
      </c>
      <c r="F4" s="7" t="inlineStr">
        <is>
          <t>66.7%</t>
        </is>
      </c>
      <c r="G4" s="7" t="inlineStr">
        <is>
          <t>93.2%</t>
        </is>
      </c>
      <c r="H4" s="7" t="inlineStr">
        <is>
          <t>6.8%</t>
        </is>
      </c>
      <c r="I4" s="7" t="inlineStr">
        <is>
          <t>19.0%</t>
        </is>
      </c>
      <c r="J4" s="7" t="inlineStr">
        <is>
          <t>03月, 04月, 05月, 06月</t>
        </is>
      </c>
    </row>
    <row r="5">
      <c r="A5" s="7" t="inlineStr">
        <is>
          <t>采购建议价</t>
        </is>
      </c>
      <c r="B5" s="7" t="n">
        <v>2</v>
      </c>
      <c r="C5" s="7" t="n">
        <v>371</v>
      </c>
      <c r="D5" s="7" t="n">
        <v>85</v>
      </c>
      <c r="E5" s="7" t="inlineStr">
        <is>
          <t>50.0%</t>
        </is>
      </c>
      <c r="F5" s="7" t="inlineStr">
        <is>
          <t>100.0%</t>
        </is>
      </c>
      <c r="G5" s="7" t="inlineStr">
        <is>
          <t>100.0%</t>
        </is>
      </c>
      <c r="H5" s="7" t="inlineStr">
        <is>
          <t>0.0%</t>
        </is>
      </c>
      <c r="I5" s="7" t="inlineStr">
        <is>
          <t>50.0%</t>
        </is>
      </c>
      <c r="J5" s="7" t="inlineStr">
        <is>
          <t>03月, 04月</t>
        </is>
      </c>
    </row>
    <row r="8">
      <c r="A8" s="10" t="inlineStr">
        <is>
          <t>字段缺失检查 (OK=完整, MISS=缺失, PART=部分)</t>
        </is>
      </c>
    </row>
    <row r="9">
      <c r="A9" s="11" t="inlineStr">
        <is>
          <t>需求项</t>
        </is>
      </c>
      <c r="B9" s="11" t="inlineStr">
        <is>
          <t>需求量</t>
        </is>
      </c>
      <c r="C9" s="11" t="inlineStr">
        <is>
          <t>采集数</t>
        </is>
      </c>
      <c r="D9" s="11" t="inlineStr">
        <is>
          <t>及时性</t>
        </is>
      </c>
      <c r="E9" s="11" t="inlineStr">
        <is>
          <t>通过率</t>
        </is>
      </c>
      <c r="F9" s="11" t="inlineStr">
        <is>
          <t>问题率</t>
        </is>
      </c>
      <c r="G9" s="11" t="inlineStr">
        <is>
          <t>准确率</t>
        </is>
      </c>
      <c r="H9" s="11" t="inlineStr">
        <is>
          <t>闭环</t>
        </is>
      </c>
      <c r="I9" s="11" t="inlineStr">
        <is>
          <t>材料反馈</t>
        </is>
      </c>
      <c r="J9" s="11" t="inlineStr">
        <is>
          <t>专家核实</t>
        </is>
      </c>
    </row>
    <row r="10">
      <c r="A10" s="7" t="inlineStr">
        <is>
          <t>市场价</t>
        </is>
      </c>
      <c r="B10" s="19" t="inlineStr">
        <is>
          <t>P18/21</t>
        </is>
      </c>
      <c r="C10" s="19" t="inlineStr">
        <is>
          <t>P12/21</t>
        </is>
      </c>
      <c r="D10" s="19" t="inlineStr">
        <is>
          <t>P14/21</t>
        </is>
      </c>
      <c r="E10" s="19" t="inlineStr">
        <is>
          <t>P20/21</t>
        </is>
      </c>
      <c r="F10" s="19" t="inlineStr">
        <is>
          <t>P20/21</t>
        </is>
      </c>
      <c r="G10" s="19" t="inlineStr">
        <is>
          <t>P3/21</t>
        </is>
      </c>
      <c r="H10" s="19" t="inlineStr">
        <is>
          <t>P10/21</t>
        </is>
      </c>
      <c r="I10" s="20" t="inlineStr">
        <is>
          <t>MISS</t>
        </is>
      </c>
      <c r="J10" s="20" t="inlineStr">
        <is>
          <t>MISS</t>
        </is>
      </c>
    </row>
    <row r="11">
      <c r="A11" s="7" t="inlineStr">
        <is>
          <t>采购建议价</t>
        </is>
      </c>
      <c r="B11" s="21" t="inlineStr">
        <is>
          <t>OK</t>
        </is>
      </c>
      <c r="C11" s="19" t="inlineStr">
        <is>
          <t>P1/2</t>
        </is>
      </c>
      <c r="D11" s="21" t="inlineStr">
        <is>
          <t>OK</t>
        </is>
      </c>
      <c r="E11" s="21" t="inlineStr">
        <is>
          <t>OK</t>
        </is>
      </c>
      <c r="F11" s="21" t="inlineStr">
        <is>
          <t>OK</t>
        </is>
      </c>
      <c r="G11" s="20" t="inlineStr">
        <is>
          <t>MISS</t>
        </is>
      </c>
      <c r="H11" s="21" t="inlineStr">
        <is>
          <t>OK</t>
        </is>
      </c>
      <c r="I11" s="20" t="inlineStr">
        <is>
          <t>MISS</t>
        </is>
      </c>
      <c r="J11" s="20" t="inlineStr">
        <is>
          <t>MISS</t>
        </is>
      </c>
    </row>
  </sheetData>
  <mergeCells count="2">
    <mergeCell ref="A1:J1"/>
    <mergeCell ref="A8:J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22" customWidth="1" min="4" max="4"/>
    <col width="26" customWidth="1" min="5" max="5"/>
    <col width="10" customWidth="1" min="6" max="6"/>
    <col width="10" customWidth="1" min="7" max="7"/>
  </cols>
  <sheetData>
    <row r="1" ht="28" customHeight="1">
      <c r="A1" s="14" t="inlineStr">
        <is>
          <t>数据缺失清单 — 先补红色(P0)，再补橙色(P1)</t>
        </is>
      </c>
    </row>
    <row r="3">
      <c r="A3" s="18" t="inlineStr">
        <is>
          <t>环节</t>
        </is>
      </c>
      <c r="B3" s="18" t="inlineStr">
        <is>
          <t>缺失字段</t>
        </is>
      </c>
      <c r="C3" s="18" t="inlineStr">
        <is>
          <t>看板用途</t>
        </is>
      </c>
      <c r="D3" s="18" t="inlineStr">
        <is>
          <t>影响</t>
        </is>
      </c>
      <c r="E3" s="18" t="inlineStr">
        <is>
          <t>补充方式</t>
        </is>
      </c>
      <c r="F3" s="18" t="inlineStr">
        <is>
          <t>优先级</t>
        </is>
      </c>
      <c r="G3" s="18" t="inlineStr">
        <is>
          <t>状态</t>
        </is>
      </c>
    </row>
    <row r="4">
      <c r="A4" s="22" t="inlineStr">
        <is>
          <t>采集执行</t>
        </is>
      </c>
      <c r="B4" s="22" t="inlineStr">
        <is>
          <t>材料反馈数</t>
        </is>
      </c>
      <c r="C4" s="22" t="inlineStr">
        <is>
          <t>材料反馈率KPI(当前显示0%)</t>
        </is>
      </c>
      <c r="D4" s="22" t="inlineStr">
        <is>
          <t>采集执行卡片全空</t>
        </is>
      </c>
      <c r="E4" s="22" t="inlineStr">
        <is>
          <t>采集后统计已反馈条数</t>
        </is>
      </c>
      <c r="F4" s="23" t="inlineStr">
        <is>
          <t>P0</t>
        </is>
      </c>
      <c r="G4" s="22" t="inlineStr">
        <is>
          <t>待补充</t>
        </is>
      </c>
    </row>
    <row r="5">
      <c r="A5" s="22" t="inlineStr">
        <is>
          <t>采集执行</t>
        </is>
      </c>
      <c r="B5" s="22" t="inlineStr">
        <is>
          <t>专家核实通过数</t>
        </is>
      </c>
      <c r="C5" s="22" t="inlineStr">
        <is>
          <t>专家核实通过率KPI(当前0%)</t>
        </is>
      </c>
      <c r="D5" s="22" t="inlineStr">
        <is>
          <t>采集执行卡片全空</t>
        </is>
      </c>
      <c r="E5" s="22" t="inlineStr">
        <is>
          <t>审核流程计数</t>
        </is>
      </c>
      <c r="F5" s="23" t="inlineStr">
        <is>
          <t>P0</t>
        </is>
      </c>
      <c r="G5" s="22" t="inlineStr">
        <is>
          <t>待补充</t>
        </is>
      </c>
    </row>
    <row r="6">
      <c r="A6" s="24" t="inlineStr">
        <is>
          <t>加工审核</t>
        </is>
      </c>
      <c r="B6" s="24" t="inlineStr">
        <is>
          <t>打回数量</t>
        </is>
      </c>
      <c r="C6" s="24" t="inlineStr">
        <is>
          <t>打回数量KPI(当前显示0)</t>
        </is>
      </c>
      <c r="D6" s="24" t="inlineStr">
        <is>
          <t>审核卡片全空</t>
        </is>
      </c>
      <c r="E6" s="24" t="inlineStr">
        <is>
          <t>审核流程记录打回</t>
        </is>
      </c>
      <c r="F6" s="23" t="inlineStr">
        <is>
          <t>P0</t>
        </is>
      </c>
      <c r="G6" s="24" t="inlineStr">
        <is>
          <t>待补充</t>
        </is>
      </c>
    </row>
    <row r="7">
      <c r="A7" s="24" t="inlineStr">
        <is>
          <t>加工审核</t>
        </is>
      </c>
      <c r="B7" s="24" t="inlineStr">
        <is>
          <t>自行更正数</t>
        </is>
      </c>
      <c r="C7" s="24" t="inlineStr">
        <is>
          <t>更正数KPI(当前显示0)</t>
        </is>
      </c>
      <c r="D7" s="24" t="inlineStr">
        <is>
          <t>审核卡片全空</t>
        </is>
      </c>
      <c r="E7" s="24" t="inlineStr">
        <is>
          <t>跟进更正数</t>
        </is>
      </c>
      <c r="F7" s="23" t="inlineStr">
        <is>
          <t>P0</t>
        </is>
      </c>
      <c r="G7" s="24" t="inlineStr">
        <is>
          <t>待补充</t>
        </is>
      </c>
    </row>
    <row r="8">
      <c r="A8" s="24" t="inlineStr">
        <is>
          <t>加工审核</t>
        </is>
      </c>
      <c r="B8" s="24" t="inlineStr">
        <is>
          <t>打回根因</t>
        </is>
      </c>
      <c r="C8" s="24" t="inlineStr">
        <is>
          <t>打回根因分布图/问题率计算</t>
        </is>
      </c>
      <c r="D8" s="24" t="inlineStr">
        <is>
          <t>分析图表缺失</t>
        </is>
      </c>
      <c r="E8" s="24" t="inlineStr">
        <is>
          <t>记录打回原因分类</t>
        </is>
      </c>
      <c r="F8" s="25" t="inlineStr">
        <is>
          <t>P1</t>
        </is>
      </c>
      <c r="G8" s="24" t="inlineStr">
        <is>
          <t>待补充</t>
        </is>
      </c>
    </row>
    <row r="9">
      <c r="A9" s="26" t="inlineStr">
        <is>
          <t>上线发布</t>
        </is>
      </c>
      <c r="B9" s="26" t="inlineStr">
        <is>
          <t>上线日期</t>
        </is>
      </c>
      <c r="C9" s="26" t="inlineStr">
        <is>
          <t>上线及时率(当前复用下发日期)</t>
        </is>
      </c>
      <c r="D9" s="26" t="inlineStr">
        <is>
          <t>及时率不准</t>
        </is>
      </c>
      <c r="E9" s="26" t="inlineStr">
        <is>
          <t>发布时记录日期</t>
        </is>
      </c>
      <c r="F9" s="23" t="inlineStr">
        <is>
          <t>P0</t>
        </is>
      </c>
      <c r="G9" s="26" t="inlineStr">
        <is>
          <t>待补充</t>
        </is>
      </c>
    </row>
    <row r="10">
      <c r="A10" s="27" t="inlineStr">
        <is>
          <t>通用</t>
        </is>
      </c>
      <c r="B10" s="27" t="inlineStr">
        <is>
          <t>5-6月结算数据</t>
        </is>
      </c>
      <c r="C10" s="27" t="inlineStr">
        <is>
          <t>预算执行率趋势(停在4月)</t>
        </is>
      </c>
      <c r="D10" s="27" t="inlineStr">
        <is>
          <t>月度趋势不完整</t>
        </is>
      </c>
      <c r="E10" s="27" t="inlineStr">
        <is>
          <t>导出5-6月结算</t>
        </is>
      </c>
      <c r="F10" s="23" t="inlineStr">
        <is>
          <t>P0</t>
        </is>
      </c>
      <c r="G10" s="27" t="inlineStr">
        <is>
          <t>待补充</t>
        </is>
      </c>
    </row>
    <row r="11">
      <c r="A11" s="27" t="inlineStr">
        <is>
          <t>通用</t>
        </is>
      </c>
      <c r="B11" s="27" t="inlineStr">
        <is>
          <t>信息价采集任务</t>
        </is>
      </c>
      <c r="C11" s="27" t="inlineStr">
        <is>
          <t>有结算记录但无对应任务</t>
        </is>
      </c>
      <c r="D11" s="27" t="inlineStr">
        <is>
          <t>数据不完整</t>
        </is>
      </c>
      <c r="E11" s="27" t="inlineStr">
        <is>
          <t>补充信息价任务条目</t>
        </is>
      </c>
      <c r="F11" s="25" t="inlineStr">
        <is>
          <t>P1</t>
        </is>
      </c>
      <c r="G11" s="27" t="inlineStr">
        <is>
          <t>待补充</t>
        </is>
      </c>
    </row>
    <row r="12">
      <c r="A12" s="28" t="inlineStr">
        <is>
          <t>结算</t>
        </is>
      </c>
      <c r="B12" s="28" t="inlineStr">
        <is>
          <t>各任务实际成本</t>
        </is>
      </c>
      <c r="C12" s="28" t="inlineStr">
        <is>
          <t>成本执行率精确度</t>
        </is>
      </c>
      <c r="D12" s="28" t="inlineStr">
        <is>
          <t>成本KPI</t>
        </is>
      </c>
      <c r="E12" s="28" t="inlineStr">
        <is>
          <t>按任务记录成本</t>
        </is>
      </c>
      <c r="F12" s="25" t="inlineStr">
        <is>
          <t>P1</t>
        </is>
      </c>
      <c r="G12" s="28" t="inlineStr">
        <is>
          <t>待补充</t>
        </is>
      </c>
    </row>
    <row r="13">
      <c r="A13" s="28" t="inlineStr">
        <is>
          <t>结算</t>
        </is>
      </c>
      <c r="B13" s="28" t="inlineStr">
        <is>
          <t>分项预算明细</t>
        </is>
      </c>
      <c r="C13" s="28" t="inlineStr">
        <is>
          <t>预算执行率分母不清晰</t>
        </is>
      </c>
      <c r="D13" s="28" t="inlineStr">
        <is>
          <t>预算进度</t>
        </is>
      </c>
      <c r="E13" s="28" t="inlineStr">
        <is>
          <t>设定各类型预算上限</t>
        </is>
      </c>
      <c r="F13" s="25" t="inlineStr">
        <is>
          <t>P1</t>
        </is>
      </c>
      <c r="G13" s="28" t="inlineStr">
        <is>
          <t>待补充</t>
        </is>
      </c>
    </row>
    <row r="16">
      <c r="A16" s="29" t="inlineStr">
        <is>
          <t>行动路线</t>
        </is>
      </c>
    </row>
    <row r="17">
      <c r="A17" s="30" t="inlineStr">
        <is>
          <t>第一步(今天)  P0</t>
        </is>
      </c>
      <c r="B17" s="31" t="n"/>
      <c r="C17" s="31" t="inlineStr">
        <is>
          <t>补 材料反馈数+专家核实数+打回数+更正数</t>
        </is>
      </c>
      <c r="D17" s="31" t="n"/>
      <c r="E17" s="31" t="n"/>
      <c r="F17" s="32" t="inlineStr">
        <is>
          <t>采集+审核KPI不再为空</t>
        </is>
      </c>
      <c r="G17" s="31" t="n"/>
    </row>
    <row r="18">
      <c r="A18" s="30" t="inlineStr">
        <is>
          <t>第二步(本周)  P0</t>
        </is>
      </c>
      <c r="B18" s="31" t="n"/>
      <c r="C18" s="31" t="inlineStr">
        <is>
          <t>补 上线日期+5-6月结算</t>
        </is>
      </c>
      <c r="D18" s="31" t="n"/>
      <c r="E18" s="31" t="n"/>
      <c r="F18" s="32" t="inlineStr">
        <is>
          <t>及时率准确+趋势完整</t>
        </is>
      </c>
      <c r="G18" s="31" t="n"/>
    </row>
    <row r="19">
      <c r="A19" s="30" t="inlineStr">
        <is>
          <t>第三步(后续)  P1</t>
        </is>
      </c>
      <c r="B19" s="31" t="n"/>
      <c r="C19" s="31" t="inlineStr">
        <is>
          <t>补 打回根因+信息价任务+成本明细</t>
        </is>
      </c>
      <c r="D19" s="31" t="n"/>
      <c r="E19" s="31" t="n"/>
      <c r="F19" s="32" t="inlineStr">
        <is>
          <t>分析图表+成本KPI</t>
        </is>
      </c>
      <c r="G19" s="31" t="n"/>
    </row>
  </sheetData>
  <mergeCells count="11">
    <mergeCell ref="A1:G1"/>
    <mergeCell ref="C19:E19"/>
    <mergeCell ref="A19:B19"/>
    <mergeCell ref="F19:G19"/>
    <mergeCell ref="F18:G18"/>
    <mergeCell ref="C18:E18"/>
    <mergeCell ref="C17:E17"/>
    <mergeCell ref="A16:G16"/>
    <mergeCell ref="A17:B17"/>
    <mergeCell ref="A18:B18"/>
    <mergeCell ref="F17:G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22" customWidth="1" min="4" max="4"/>
    <col width="24" customWidth="1" min="5" max="5"/>
  </cols>
  <sheetData>
    <row r="1" ht="28" customHeight="1">
      <c r="A1" s="14" t="inlineStr">
        <is>
          <t>字段速查 — ✏️=手工填  ｜  ⚙️=看板自动算</t>
        </is>
      </c>
    </row>
    <row r="3">
      <c r="A3" s="18" t="inlineStr">
        <is>
          <t>字段</t>
        </is>
      </c>
      <c r="B3" s="18" t="inlineStr">
        <is>
          <t>JSON字段名</t>
        </is>
      </c>
      <c r="C3" s="18" t="inlineStr">
        <is>
          <t>录入方式</t>
        </is>
      </c>
      <c r="D3" s="18" t="inlineStr">
        <is>
          <t>数据来源</t>
        </is>
      </c>
      <c r="E3" s="18" t="inlineStr">
        <is>
          <t>看板位置</t>
        </is>
      </c>
    </row>
    <row r="4">
      <c r="A4" s="33" t="inlineStr">
        <is>
          <t>任务名称</t>
        </is>
      </c>
      <c r="B4" s="33" t="inlineStr">
        <is>
          <t>name</t>
        </is>
      </c>
      <c r="C4" s="34" t="inlineStr">
        <is>
          <t>✏️ 手动</t>
        </is>
      </c>
      <c r="D4" s="33" t="inlineStr">
        <is>
          <t>企微记录</t>
        </is>
      </c>
      <c r="E4" s="33" t="inlineStr">
        <is>
          <t>任务清单/预警</t>
        </is>
      </c>
    </row>
    <row r="5">
      <c r="A5" s="33" t="inlineStr">
        <is>
          <t>月份</t>
        </is>
      </c>
      <c r="B5" s="33" t="inlineStr">
        <is>
          <t>month</t>
        </is>
      </c>
      <c r="C5" s="34" t="inlineStr">
        <is>
          <t>✏️ 手动</t>
        </is>
      </c>
      <c r="D5" s="33" t="inlineStr">
        <is>
          <t>企微记录</t>
        </is>
      </c>
      <c r="E5" s="33" t="inlineStr">
        <is>
          <t>筛选/聚合</t>
        </is>
      </c>
    </row>
    <row r="6">
      <c r="A6" s="33" t="inlineStr">
        <is>
          <t>需求项</t>
        </is>
      </c>
      <c r="B6" s="33" t="inlineStr">
        <is>
          <t>demandItem</t>
        </is>
      </c>
      <c r="C6" s="34" t="inlineStr">
        <is>
          <t>✏️ 手动(下拉)</t>
        </is>
      </c>
      <c r="D6" s="33" t="inlineStr">
        <is>
          <t>企微记录</t>
        </is>
      </c>
      <c r="E6" s="33" t="inlineStr">
        <is>
          <t>筛选器</t>
        </is>
      </c>
    </row>
    <row r="7">
      <c r="A7" s="33" t="inlineStr">
        <is>
          <t>结算类型</t>
        </is>
      </c>
      <c r="B7" s="33" t="inlineStr">
        <is>
          <t>settleType</t>
        </is>
      </c>
      <c r="C7" s="34" t="inlineStr">
        <is>
          <t>✏️ 手动(下拉)</t>
        </is>
      </c>
      <c r="D7" s="33" t="inlineStr">
        <is>
          <t>企微记录</t>
        </is>
      </c>
      <c r="E7" s="33" t="inlineStr">
        <is>
          <t>筛选器</t>
        </is>
      </c>
    </row>
    <row r="8">
      <c r="A8" s="33" t="inlineStr">
        <is>
          <t>数据来源</t>
        </is>
      </c>
      <c r="B8" s="33" t="inlineStr">
        <is>
          <t>source</t>
        </is>
      </c>
      <c r="C8" s="34" t="inlineStr">
        <is>
          <t>✏️ 手动</t>
        </is>
      </c>
      <c r="D8" s="33" t="inlineStr">
        <is>
          <t>企微记录</t>
        </is>
      </c>
      <c r="E8" s="33" t="inlineStr">
        <is>
          <t>采集进度对比</t>
        </is>
      </c>
    </row>
    <row r="9">
      <c r="A9" s="33" t="inlineStr">
        <is>
          <t>需求量</t>
        </is>
      </c>
      <c r="B9" s="33" t="inlineStr">
        <is>
          <t>demandQty</t>
        </is>
      </c>
      <c r="C9" s="34" t="inlineStr">
        <is>
          <t>✏️ 手动</t>
        </is>
      </c>
      <c r="D9" s="33" t="inlineStr">
        <is>
          <t>下发记录</t>
        </is>
      </c>
      <c r="E9" s="33" t="inlineStr">
        <is>
          <t>KPI卡片/趋势</t>
        </is>
      </c>
    </row>
    <row r="10">
      <c r="A10" s="33" t="inlineStr">
        <is>
          <t>采集完成数</t>
        </is>
      </c>
      <c r="B10" s="33" t="inlineStr">
        <is>
          <t>collected</t>
        </is>
      </c>
      <c r="C10" s="34" t="inlineStr">
        <is>
          <t>✏️ 手动</t>
        </is>
      </c>
      <c r="D10" s="33" t="inlineStr">
        <is>
          <t>采集记录</t>
        </is>
      </c>
      <c r="E10" s="33" t="inlineStr">
        <is>
          <t>KPI卡片</t>
        </is>
      </c>
    </row>
    <row r="11">
      <c r="A11" s="35" t="inlineStr">
        <is>
          <t>材料反馈数</t>
        </is>
      </c>
      <c r="B11" s="35" t="inlineStr">
        <is>
          <t>feedbackMat</t>
        </is>
      </c>
      <c r="C11" s="36" t="inlineStr">
        <is>
          <t>✏️ 手动(待补)</t>
        </is>
      </c>
      <c r="D11" s="35" t="inlineStr">
        <is>
          <t>采集记录</t>
        </is>
      </c>
      <c r="E11" s="35" t="inlineStr">
        <is>
          <t>材料反馈率KPI</t>
        </is>
      </c>
    </row>
    <row r="12">
      <c r="A12" s="35" t="inlineStr">
        <is>
          <t>专家核实通过数</t>
        </is>
      </c>
      <c r="B12" s="35" t="inlineStr">
        <is>
          <t>expertVerify</t>
        </is>
      </c>
      <c r="C12" s="36" t="inlineStr">
        <is>
          <t>✏️ 手动(待补)</t>
        </is>
      </c>
      <c r="D12" s="35" t="inlineStr">
        <is>
          <t>审核记录</t>
        </is>
      </c>
      <c r="E12" s="35" t="inlineStr">
        <is>
          <t>专家通过率KPI</t>
        </is>
      </c>
    </row>
    <row r="13">
      <c r="A13" s="35" t="inlineStr">
        <is>
          <t>打回数量</t>
        </is>
      </c>
      <c r="B13" s="35" t="inlineStr">
        <is>
          <t>rejectCount</t>
        </is>
      </c>
      <c r="C13" s="36" t="inlineStr">
        <is>
          <t>✏️ 手动(待补)</t>
        </is>
      </c>
      <c r="D13" s="35" t="inlineStr">
        <is>
          <t>审核记录</t>
        </is>
      </c>
      <c r="E13" s="35" t="inlineStr">
        <is>
          <t>打回率KPI</t>
        </is>
      </c>
    </row>
    <row r="14">
      <c r="A14" s="35" t="inlineStr">
        <is>
          <t>自行更正数</t>
        </is>
      </c>
      <c r="B14" s="35" t="inlineStr">
        <is>
          <t>selfCorrect</t>
        </is>
      </c>
      <c r="C14" s="36" t="inlineStr">
        <is>
          <t>✏️ 手动(待补)</t>
        </is>
      </c>
      <c r="D14" s="35" t="inlineStr">
        <is>
          <t>跟进记录</t>
        </is>
      </c>
      <c r="E14" s="35" t="inlineStr">
        <is>
          <t>更正数KPI</t>
        </is>
      </c>
    </row>
    <row r="15">
      <c r="A15" s="35" t="inlineStr">
        <is>
          <t>打回根因</t>
        </is>
      </c>
      <c r="B15" s="35" t="inlineStr">
        <is>
          <t>rejectReason</t>
        </is>
      </c>
      <c r="C15" s="36" t="inlineStr">
        <is>
          <t>✏️ 手动(待补)</t>
        </is>
      </c>
      <c r="D15" s="35" t="inlineStr">
        <is>
          <t>审核记录</t>
        </is>
      </c>
      <c r="E15" s="35" t="inlineStr">
        <is>
          <t>根因分析</t>
        </is>
      </c>
    </row>
    <row r="16">
      <c r="A16" s="33" t="inlineStr">
        <is>
          <t>闭环状态</t>
        </is>
      </c>
      <c r="B16" s="33" t="inlineStr">
        <is>
          <t>closed</t>
        </is>
      </c>
      <c r="C16" s="34" t="inlineStr">
        <is>
          <t>✏️ 手动(下拉)</t>
        </is>
      </c>
      <c r="D16" s="33" t="inlineStr">
        <is>
          <t>跟进记录</t>
        </is>
      </c>
      <c r="E16" s="33" t="inlineStr">
        <is>
          <t>闭环率KPI</t>
        </is>
      </c>
    </row>
    <row r="17">
      <c r="A17" s="33" t="inlineStr">
        <is>
          <t>全部闭环</t>
        </is>
      </c>
      <c r="B17" s="33" t="inlineStr">
        <is>
          <t>allClosed</t>
        </is>
      </c>
      <c r="C17" s="34" t="inlineStr">
        <is>
          <t>✏️ 手动(下拉)</t>
        </is>
      </c>
      <c r="D17" s="33" t="inlineStr">
        <is>
          <t>跟进记录</t>
        </is>
      </c>
      <c r="E17" s="33" t="inlineStr">
        <is>
          <t>全闭环KPI</t>
        </is>
      </c>
    </row>
    <row r="18">
      <c r="A18" s="37" t="inlineStr">
        <is>
          <t>采集完成率</t>
        </is>
      </c>
      <c r="B18" s="37" t="inlineStr">
        <is>
          <t>completionRate</t>
        </is>
      </c>
      <c r="C18" s="38" t="inlineStr">
        <is>
          <t>⚙️ 自动</t>
        </is>
      </c>
      <c r="D18" s="37" t="inlineStr">
        <is>
          <t>collected÷demandQty</t>
        </is>
      </c>
      <c r="E18" s="37" t="inlineStr">
        <is>
          <t>KPI卡片</t>
        </is>
      </c>
    </row>
    <row r="19">
      <c r="A19" s="37" t="inlineStr">
        <is>
          <t>材料反馈率</t>
        </is>
      </c>
      <c r="B19" s="37" t="inlineStr">
        <is>
          <t>feedbackRate</t>
        </is>
      </c>
      <c r="C19" s="38" t="inlineStr">
        <is>
          <t>⚙️ 自动</t>
        </is>
      </c>
      <c r="D19" s="37" t="inlineStr">
        <is>
          <t>feedbackMat÷collected</t>
        </is>
      </c>
      <c r="E19" s="37" t="inlineStr">
        <is>
          <t>KPI卡片</t>
        </is>
      </c>
    </row>
    <row r="20">
      <c r="A20" s="37" t="inlineStr">
        <is>
          <t>专家核实通过率</t>
        </is>
      </c>
      <c r="B20" s="37" t="inlineStr">
        <is>
          <t>verifyPassRate</t>
        </is>
      </c>
      <c r="C20" s="38" t="inlineStr">
        <is>
          <t>⚙️ 自动</t>
        </is>
      </c>
      <c r="D20" s="37" t="inlineStr">
        <is>
          <t>expertVerify÷collected</t>
        </is>
      </c>
      <c r="E20" s="37" t="inlineStr">
        <is>
          <t>KPI卡片</t>
        </is>
      </c>
    </row>
    <row r="21">
      <c r="A21" s="37" t="inlineStr">
        <is>
          <t>需求准确率</t>
        </is>
      </c>
      <c r="B21" s="37" t="inlineStr">
        <is>
          <t>accuracyRate</t>
        </is>
      </c>
      <c r="C21" s="38" t="inlineStr">
        <is>
          <t>⚙️ 自动</t>
        </is>
      </c>
      <c r="D21" s="37" t="inlineStr">
        <is>
          <t>(collected−打回)÷collected</t>
        </is>
      </c>
      <c r="E21" s="37" t="inlineStr">
        <is>
          <t>KPI卡片</t>
        </is>
      </c>
    </row>
    <row r="22">
      <c r="A22" s="37" t="inlineStr">
        <is>
          <t>打回率</t>
        </is>
      </c>
      <c r="B22" s="37" t="inlineStr">
        <is>
          <t>rejectRate</t>
        </is>
      </c>
      <c r="C22" s="38" t="inlineStr">
        <is>
          <t>⚙️ 自动</t>
        </is>
      </c>
      <c r="D22" s="37" t="inlineStr">
        <is>
          <t>rejectCount÷collected</t>
        </is>
      </c>
      <c r="E22" s="37" t="inlineStr">
        <is>
          <t>KPI卡片</t>
        </is>
      </c>
    </row>
    <row r="23">
      <c r="A23" s="37" t="inlineStr">
        <is>
          <t>闭环率</t>
        </is>
      </c>
      <c r="B23" s="37" t="inlineStr">
        <is>
          <t>closedRate</t>
        </is>
      </c>
      <c r="C23" s="38" t="inlineStr">
        <is>
          <t>⚙️ 自动</t>
        </is>
      </c>
      <c r="D23" s="37" t="inlineStr">
        <is>
          <t>closed=是 占比</t>
        </is>
      </c>
      <c r="E23" s="37" t="inlineStr">
        <is>
          <t>KPI卡片</t>
        </is>
      </c>
    </row>
    <row r="24">
      <c r="A24" s="37" t="inlineStr">
        <is>
          <t>全部闭环率</t>
        </is>
      </c>
      <c r="B24" s="37" t="inlineStr">
        <is>
          <t>allClosedRate</t>
        </is>
      </c>
      <c r="C24" s="38" t="inlineStr">
        <is>
          <t>⚙️ 自动</t>
        </is>
      </c>
      <c r="D24" s="37" t="inlineStr">
        <is>
          <t>allClosed=是 占比</t>
        </is>
      </c>
      <c r="E24" s="37" t="inlineStr">
        <is>
          <t>KPI卡片</t>
        </is>
      </c>
    </row>
    <row r="25">
      <c r="A25" s="37" t="inlineStr">
        <is>
          <t>需求发布及时率</t>
        </is>
      </c>
      <c r="B25" s="37" t="inlineStr">
        <is>
          <t>timelinessRate</t>
        </is>
      </c>
      <c r="C25" s="38" t="inlineStr">
        <is>
          <t>⚙️ 自动</t>
        </is>
      </c>
      <c r="D25" s="37" t="inlineStr">
        <is>
          <t>从下发日期判断</t>
        </is>
      </c>
      <c r="E25" s="37" t="inlineStr">
        <is>
          <t>KPI卡片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2026-06-16T07:00:04Z</dcterms:created>
  <dcterms:modified xmlns:dcterms="http://purl.org/dc/terms/" xmlns:xsi="http://www.w3.org/2001/XMLSchema-instance" xsi:type="dcterms:W3CDTF">2026-06-16T07:00:05Z</dcterms:modified>
</cp:coreProperties>
</file>